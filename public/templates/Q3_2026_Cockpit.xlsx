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HP\Downloads\"/>
    </mc:Choice>
  </mc:AlternateContent>
  <bookViews>
    <workbookView xWindow="0" yWindow="0" windowWidth="19200" windowHeight="7020" tabRatio="500" activeTab="2"/>
  </bookViews>
  <sheets>
    <sheet name="1. Read Me" sheetId="1" r:id="rId1"/>
    <sheet name="2. Q3 Cockpit" sheetId="2" r:id="rId2"/>
    <sheet name="3. Weekly Run-Sheet" sheetId="3" r:id="rId3"/>
    <sheet name="4. Scorecard" sheetId="4" r:id="rId4"/>
    <sheet name="5. Milestones" sheetId="5" r:id="rId5"/>
    <sheet name="6. Decision Log" sheetId="6" r:id="rId6"/>
    <sheet name="7. Risk Register" sheetId="7" r:id="rId7"/>
  </sheets>
  <calcPr calcId="162913" iterateDelta="1E-4"/>
  <extLst>
    <ext xmlns:loext="http://schemas.libreoffice.org/" uri="{7626C862-2A13-11E5-B345-FEFF819CDC9F}">
      <loext:extCalcPr stringRefSyntax="ExcelA1"/>
    </ext>
  </extLst>
</workbook>
</file>

<file path=xl/calcChain.xml><?xml version="1.0" encoding="utf-8"?>
<calcChain xmlns="http://schemas.openxmlformats.org/spreadsheetml/2006/main">
  <c r="F18" i="7" l="1"/>
  <c r="F17" i="7"/>
  <c r="F16" i="7"/>
  <c r="F15" i="7"/>
  <c r="F14" i="7"/>
  <c r="F13" i="7"/>
  <c r="F12" i="7"/>
  <c r="F11" i="7"/>
  <c r="F10" i="7"/>
  <c r="F9" i="7"/>
  <c r="F8" i="7"/>
  <c r="F7" i="7"/>
  <c r="F6" i="7"/>
  <c r="F5" i="7"/>
  <c r="N36" i="2"/>
  <c r="M36" i="2"/>
  <c r="L36" i="2"/>
  <c r="K36" i="2"/>
  <c r="J36" i="2"/>
  <c r="I36" i="2"/>
  <c r="H36" i="2"/>
  <c r="G36" i="2"/>
  <c r="F36" i="2"/>
  <c r="E36" i="2"/>
  <c r="D36" i="2"/>
  <c r="C36" i="2"/>
  <c r="B36" i="2"/>
  <c r="N35" i="2"/>
  <c r="M35" i="2"/>
  <c r="L35" i="2"/>
  <c r="K35" i="2"/>
  <c r="J35" i="2"/>
  <c r="I35" i="2"/>
  <c r="H35" i="2"/>
  <c r="G35" i="2"/>
  <c r="F35" i="2"/>
  <c r="E35" i="2"/>
  <c r="D35" i="2"/>
  <c r="C35" i="2"/>
  <c r="B35" i="2"/>
  <c r="N34" i="2"/>
  <c r="M34" i="2"/>
  <c r="L34" i="2"/>
  <c r="K34" i="2"/>
  <c r="J34" i="2"/>
  <c r="I34" i="2"/>
  <c r="H34" i="2"/>
  <c r="G34" i="2"/>
  <c r="F34" i="2"/>
  <c r="E34" i="2"/>
  <c r="D34" i="2"/>
  <c r="C34" i="2"/>
  <c r="B34" i="2"/>
  <c r="N33" i="2"/>
  <c r="M33" i="2"/>
  <c r="L33" i="2"/>
  <c r="K33" i="2"/>
  <c r="J33" i="2"/>
  <c r="I33" i="2"/>
  <c r="H33" i="2"/>
  <c r="G33" i="2"/>
  <c r="F33" i="2"/>
  <c r="E33" i="2"/>
  <c r="D33" i="2"/>
  <c r="C33" i="2"/>
  <c r="B33" i="2"/>
  <c r="N32" i="2"/>
  <c r="M32" i="2"/>
  <c r="L32" i="2"/>
  <c r="K32" i="2"/>
  <c r="J32" i="2"/>
  <c r="I32" i="2"/>
  <c r="H32" i="2"/>
  <c r="G32" i="2"/>
  <c r="F32" i="2"/>
  <c r="E32" i="2"/>
  <c r="D32" i="2"/>
  <c r="C32" i="2"/>
  <c r="B32" i="2"/>
  <c r="N28" i="2"/>
  <c r="M28" i="2"/>
  <c r="L28" i="2"/>
  <c r="K28" i="2"/>
  <c r="J28" i="2"/>
  <c r="I28" i="2"/>
  <c r="H28" i="2"/>
  <c r="G28" i="2"/>
  <c r="F28" i="2"/>
  <c r="E28" i="2"/>
  <c r="D28" i="2"/>
  <c r="C28" i="2"/>
  <c r="B28" i="2"/>
  <c r="N27" i="2"/>
  <c r="M27" i="2"/>
  <c r="L27" i="2"/>
  <c r="K27" i="2"/>
  <c r="J27" i="2"/>
  <c r="I27" i="2"/>
  <c r="H27" i="2"/>
  <c r="G27" i="2"/>
  <c r="F27" i="2"/>
  <c r="E27" i="2"/>
  <c r="D27" i="2"/>
  <c r="C27" i="2"/>
  <c r="B27" i="2"/>
  <c r="N26" i="2"/>
  <c r="M26" i="2"/>
  <c r="L26" i="2"/>
  <c r="K26" i="2"/>
  <c r="J26" i="2"/>
  <c r="I26" i="2"/>
  <c r="H26" i="2"/>
  <c r="G26" i="2"/>
  <c r="F26" i="2"/>
  <c r="E26" i="2"/>
  <c r="D26" i="2"/>
  <c r="C26" i="2"/>
  <c r="B26" i="2"/>
  <c r="N25" i="2"/>
  <c r="M25" i="2"/>
  <c r="L25" i="2"/>
  <c r="K25" i="2"/>
  <c r="J25" i="2"/>
  <c r="I25" i="2"/>
  <c r="H25" i="2"/>
  <c r="G25" i="2"/>
  <c r="F25" i="2"/>
  <c r="E25" i="2"/>
  <c r="D25" i="2"/>
  <c r="C25" i="2"/>
  <c r="B25" i="2"/>
  <c r="L21" i="2"/>
  <c r="J21" i="2"/>
  <c r="H21" i="2"/>
</calcChain>
</file>

<file path=xl/sharedStrings.xml><?xml version="1.0" encoding="utf-8"?>
<sst xmlns="http://schemas.openxmlformats.org/spreadsheetml/2006/main" count="1349" uniqueCount="600">
  <si>
    <t>Q3 COCKPIT — IGNIS &amp; CLEANCOOKIQ</t>
  </si>
  <si>
    <t>One file for the whole quarter (Jul–Sep 2026) · Guided by four north stars</t>
  </si>
  <si>
    <t>THE FOUR NORTH STARS (they guide every week)</t>
  </si>
  <si>
    <t>Programmes</t>
  </si>
  <si>
    <t>What the money builds &amp; delivers — Prisons, CCIQ launch, Uganda, Sierra Leone, household pilot, DMRV.</t>
  </si>
  <si>
    <t>Partnerships</t>
  </si>
  <si>
    <t>The six strategic relationships — FSD, Rockefeller, GEAPP, KCB, Caritas, AfDB (+ anchor funder).</t>
  </si>
  <si>
    <t>Revenue</t>
  </si>
  <si>
    <t>All money in. $100,000 is the floor, not the ceiling.</t>
  </si>
  <si>
    <t>Team</t>
  </si>
  <si>
    <t>Ownership, cadence, systems &amp; compliance — everyone runs their own workstream.</t>
  </si>
  <si>
    <t>HOW THIS COCKPIT WORKS (all 13 weeks live in this one file)</t>
  </si>
  <si>
    <t>Before the meeting</t>
  </si>
  <si>
    <t>Everyone sends Joan their five lines. Joan sets each north star's RAG and fills the next week block on the Run-Sheet.</t>
  </si>
  <si>
    <t>At the meeting</t>
  </si>
  <si>
    <t>Read the four north stars first (are we green/amber/red on Programmes, Partnerships, Revenue, Team?), then each person's line.</t>
  </si>
  <si>
    <t>To close</t>
  </si>
  <si>
    <t>Every red item moves to the Decision Log with an owner and a next action.</t>
  </si>
  <si>
    <t>Across the quarter</t>
  </si>
  <si>
    <t>Never start a new document — move to the next week block. The Cockpit home shows the whole-quarter trajectory automatically.</t>
  </si>
  <si>
    <t>THE RULES OF THE ROOM</t>
  </si>
  <si>
    <t>•  North stars first — data before narrative.</t>
  </si>
  <si>
    <t>•  Named blockers only. No status reports.</t>
  </si>
  <si>
    <t>•  MD speaks last.</t>
  </si>
  <si>
    <t>•  Every red item gets a next action + named owner before we close.</t>
  </si>
  <si>
    <t>•  Pipeline lives here — 1:1s are for career, blockers and quality of thinking.</t>
  </si>
  <si>
    <t>THE FIVE LINES (send to Joan ahead of the meeting)</t>
  </si>
  <si>
    <t>Elizabeth &amp; Wilson
(pipeline)</t>
  </si>
  <si>
    <t>1. Revenue &amp; pipeline: this week vs last  |  2. Deals / partnerships advanced  |  3. Any deal stalled &gt;14 days — name it + blocker  |  4. One win  |  5. One ask from Dennis</t>
  </si>
  <si>
    <t>Brian
(technology)</t>
  </si>
  <si>
    <t>1. Features shipped  |  2. Features blocked + why  |  3. Uptime &amp; incidents  |  4. Three delivery commitments next week  |  5. One ask from Dennis or Joan</t>
  </si>
  <si>
    <t>Dennis</t>
  </si>
  <si>
    <t>Brings the 5 CEO dashboard numbers (shared every Monday). Speaks last.</t>
  </si>
  <si>
    <t>Joan</t>
  </si>
  <si>
    <t>Compiles the RAG, fills the week block, maintains the Decision Log.</t>
  </si>
  <si>
    <t>RAG KEY</t>
  </si>
  <si>
    <t>Green</t>
  </si>
  <si>
    <t>On track</t>
  </si>
  <si>
    <t>Amber</t>
  </si>
  <si>
    <t>At risk — watch / needs input</t>
  </si>
  <si>
    <t>Red</t>
  </si>
  <si>
    <t>Off track — decision needed</t>
  </si>
  <si>
    <t>Done</t>
  </si>
  <si>
    <t>Delivered</t>
  </si>
  <si>
    <t>Not Started</t>
  </si>
  <si>
    <t>Not yet begun</t>
  </si>
  <si>
    <t>Q3 COCKPIT — HOME</t>
  </si>
  <si>
    <t>Four north stars · revenue to $100K · whole-quarter trajectory (auto from Run-Sheet)</t>
  </si>
  <si>
    <t>NORTH-STAR STATUS (Joan's weekly synthesis)</t>
  </si>
  <si>
    <t>North Star</t>
  </si>
  <si>
    <t>RAG</t>
  </si>
  <si>
    <t>Where it stands this week</t>
  </si>
  <si>
    <t>wk 8/13 RAG UNSET (2 of 5 reported). 26 Aug Voi convening restructured to one integrated full day with a Financing Forum; Tectona fieldwork rerouted while the Mui MoU stays delayed; DMRV contracting at risk after the 4R Digital deferral. Last scored RAG is week 7.</t>
  </si>
  <si>
    <t>wk 8/13 RAG UNSET. The deciding fact is missing: the FSD MoU signature targeted 17 to 18 Aug was not confirmed by anyone. Elsewhere CESA is at 14 pages with one open item, the IRENA sub agreement is cleared to execute, Zambia/CES priorities are agreed for a 3 Sep call. Last scored RAG is week 7.</t>
  </si>
  <si>
    <t>wk 8/13 RAG UNSET. No new revenue closed, position holds at $11K signed of the $100K floor at week 8 of 13. Restated FY26 financials received 20 Aug, so burn and runway can now be stated. Last scored RAG is week 7.</t>
  </si>
  <si>
    <t>wk 8/13 RAG UNSET. Reporting fell to 2 of 5 with three unexcused misses including the MD, the worst week of the quarter. Output from the two reporters was strong: CESA 27 to 14 pages, FY26 financial review owned, withholding tax filed. Last scored RAG is week 7.</t>
  </si>
  <si>
    <t>REVENUE TO $100,000 FLOOR  (fill 'Signed $' as money lands · $100K is the floor, not the ceiling)</t>
  </si>
  <si>
    <t>Deal / source</t>
  </si>
  <si>
    <t>Target $</t>
  </si>
  <si>
    <t>Signed $</t>
  </si>
  <si>
    <t>Owner</t>
  </si>
  <si>
    <t>Note</t>
  </si>
  <si>
    <t>Prisons</t>
  </si>
  <si>
    <t>Wilson</t>
  </si>
  <si>
    <t>$70k–100k range</t>
  </si>
  <si>
    <t>Rockefeller</t>
  </si>
  <si>
    <t>Elizabeth</t>
  </si>
  <si>
    <t>CLASP</t>
  </si>
  <si>
    <t>UNDP</t>
  </si>
  <si>
    <t>TBD — confirm amount</t>
  </si>
  <si>
    <t>IRENA + CCAK</t>
  </si>
  <si>
    <t>SIGNED (countersigned Aug 3) — confirmed contract value $8,000 (revised down from $15,000 estimate)</t>
  </si>
  <si>
    <t>Uganda</t>
  </si>
  <si>
    <t>Sierra Leone (20 schools licensed)</t>
  </si>
  <si>
    <t>Energy consultancy (short-term)</t>
  </si>
  <si>
    <t>New signed engagement, short term energy consultancy (Dennis). No new revenue closed in W8.</t>
  </si>
  <si>
    <t>TOTALS  ·  identified vs signed  (floor $100,000)</t>
  </si>
  <si>
    <t>NORTH-STAR TRAJECTORY — 13 WEEKS  (auto from Run-Sheet)</t>
  </si>
  <si>
    <t>W1</t>
  </si>
  <si>
    <t>W2</t>
  </si>
  <si>
    <t>W3</t>
  </si>
  <si>
    <t>W4</t>
  </si>
  <si>
    <t>W5</t>
  </si>
  <si>
    <t>W6</t>
  </si>
  <si>
    <t>W7</t>
  </si>
  <si>
    <t>W8</t>
  </si>
  <si>
    <t>W9</t>
  </si>
  <si>
    <t>W10</t>
  </si>
  <si>
    <t>W11</t>
  </si>
  <si>
    <t>W12</t>
  </si>
  <si>
    <t>W13</t>
  </si>
  <si>
    <t>TEAM TRAJECTORY — 13 WEEKS  (auto from Run-Sheet)</t>
  </si>
  <si>
    <t>Person</t>
  </si>
  <si>
    <t>Brian</t>
  </si>
  <si>
    <t>WEEKLY RUN-SHEET — Q3 2026</t>
  </si>
  <si>
    <t>North stars up top, people below · fill the current week, scroll down as the quarter runs</t>
  </si>
  <si>
    <t>WEEK 1   ·   w/c 29 Jun</t>
  </si>
  <si>
    <t>Where it stands (one line)</t>
  </si>
  <si>
    <t>This week's decisive move</t>
  </si>
  <si>
    <t>Lead(s)</t>
  </si>
  <si>
    <t>Wilson · Brian · Elizabeth</t>
  </si>
  <si>
    <t>Dennis · Wilson</t>
  </si>
  <si>
    <t>Elizabeth · Wilson · Dennis</t>
  </si>
  <si>
    <t>Joan · Brian</t>
  </si>
  <si>
    <t>Person / Role</t>
  </si>
  <si>
    <t>Driving</t>
  </si>
  <si>
    <t>This week's commitment</t>
  </si>
  <si>
    <t>Actual / progress</t>
  </si>
  <si>
    <t>Blocker</t>
  </si>
  <si>
    <t>Next action → owner</t>
  </si>
  <si>
    <t>Ask</t>
  </si>
  <si>
    <t>Dennis — Managing Director</t>
  </si>
  <si>
    <t>Elizabeth — Head of Pipeline</t>
  </si>
  <si>
    <t>Wilson — Head of BD &amp; Partnerships</t>
  </si>
  <si>
    <t>Joan — Chief of Staff</t>
  </si>
  <si>
    <t>Brian — Head of Technology</t>
  </si>
  <si>
    <t>Reds carried to Decision Log / decisions taken this week →</t>
  </si>
  <si>
    <t>WEEK 2   ·   w/c 06 Jul</t>
  </si>
  <si>
    <t>Prisons presented but hit CAPEX pushback; CCIQ launch/readiness UNCONFIRMED on launch day; DMRV &amp; telemetry not advanced.</t>
  </si>
  <si>
    <t>Get the LPG alternative to the Prisons Secretariat before their retreat; confirm CCIQ launch status.</t>
  </si>
  <si>
    <t>KCB, Rockefeller &amp; Equity meetings secured (good momentum); GEAPP CDMU submitted; but FSD signing slipping on undecided structure.</t>
  </si>
  <si>
    <t>Pin FSD to a decision and a date; hold KCB &amp; RF meetings next week.</t>
  </si>
  <si>
    <t>Zero revenue closed; both anchor lines (Prisons $70–100k, Rockefeller $150k) still upstream. Early (W2), but nothing converted.</t>
  </si>
  <si>
    <t>Protect Prisons conversion; advance quick wins. (Dennis's numbers to confirm.)</t>
  </si>
  <si>
    <t>Cockpit running, governance manual done, uptime clean — but the team is queued on Dennis (R6 live); ESCO not started.</t>
  </si>
  <si>
    <t>Clear the Dennis unblock-queue; ESCO restart 15 Jul.</t>
  </si>
  <si>
    <t>Advance institutional pipeline; TECTONA launch prep; partner meetings (KCB, RF, Equity, Caritas)</t>
  </si>
  <si>
    <t>KCB &amp; Rockefeller meetings secured for next week; Equity Bank first engagement done (awaiting intros); TECTONA budget negotiated to workable; WFP Uganda redirected to TESLA on scope. No revenue closed.</t>
  </si>
  <si>
    <t>TECTONA stalled &gt;14 days — awaiting Dennis budget sign-off + questionnaire feedback before data collection can start.</t>
  </si>
  <si>
    <t>1) Dennis: sign off TECTONA budget + return questionnaire. 2) Dennis: facilitate Moses intro so Elizabeth takes over Caritas. 3) Elizabeth: hold KCB &amp; RF meetings next week.</t>
  </si>
  <si>
    <t>Dennis: accelerate Sierra Leone/AfriGas next steps; facilitate the Caritas/Moses intro so I can drive it.</t>
  </si>
  <si>
    <t>Prisons TWG presentation; GEAPP CDMU deliverable</t>
  </si>
  <si>
    <t>Prisons TWG presented (steam cooking); GEAPP Compact Alignment &amp; Measurable Outcome Map submitted. No new revenue closed.</t>
  </si>
  <si>
    <t>Prisons: PS flagged CAPEX high vs competitors — needs detailed follow-up + groundwork before it converts. FSD: internal indecision on collaboration structure, no timeline.</t>
  </si>
  <si>
    <t>1) Prisons follow-up pack (CAPEX/OPEX/O&amp;M/risks/lessons) — Wilson. 2) Scope direct-LPG lower-CAPEX alternative — Dennis + Wilson. 3) Chase FSD structure decision — Wilson.</t>
  </si>
  <si>
    <t>Dennis: help scope a direct-LPG lower-CAPEX alternative for the Prisons Secretariat submission.</t>
  </si>
  <si>
    <t>Governance manual; KIPI trademark; steam generator; data room; ESCO; cockpit</t>
  </si>
  <si>
    <t>People, Culture &amp; Workplace Governance manual COMPLETED. KIPI trademark cleared — collecting Mon, filing next week. Steam generator delivered to BoilAfrica; KIRDI testing starts 10 Jul. Series A data room in progress (base documents assembled, compiling). Cockpit running.</t>
  </si>
  <si>
    <t>ESCO EPRA not started — restart set for 15 Jul. (Only open drag on the line.)</t>
  </si>
  <si>
    <t>ESCO EPRA visit by 15 Jul; continue compiling data room toward 31 Jul; collect trademark Mon + begin filing.</t>
  </si>
  <si>
    <t>(none named) — as CoS, batching and clearing the Dennis-unblock queue may be the real action here.</t>
  </si>
  <si>
    <t>Jikoni UI; content agents (LinkedIn/TikTok); platform uptime; (CCIQ launch readiness)</t>
  </si>
  <si>
    <t>LinkedIn posting bot stabilised; TikTok agent + Jikoni UI in build. No incidents; uptime clean. NO update on CCIQ platform / launch readiness — see flag.</t>
  </si>
  <si>
    <t>Awaiting Outlook admin login credentials (blocks Outlook→Google Workspace migration).</t>
  </si>
  <si>
    <t>1) Provide Outlook admin credentials — Joan. 2) Outlook→Workspace migration, Jikoni functionality, Instagram agent — Brian. 3) Report CCIQ platform / launch status — Brian.</t>
  </si>
  <si>
    <t>Claude subscription access (Dennis / Joan).</t>
  </si>
  <si>
    <t>WEEK 3   ·   w/c 13 Jul</t>
  </si>
  <si>
    <t>Prisons: two costed scenarios built (integrated steam + direct LPG) — now sitting with Dennis for direction. KIRDI testing done. New positioning: IRENA (finance lead, Taita Taveta), WRI Energy ToR. CCIQ launch STILL unconfirmed (3rd week).</t>
  </si>
  <si>
    <t>Dennis to direct on the two Prisons scenarios before the Secretariat retreat; confirm CCIQ launch status.</t>
  </si>
  <si>
    <t>Strong relationship week: KCB &amp; Rockefeller meetings HELD, Mama Doing Good TWG convened, Practical Action 2027–30 consultation (ELMEC follow-up), UK PACT profiling. But FSD structure still undecided — 2nd week stalled.</t>
  </si>
  <si>
    <t>Escalate FSD to a decision and a date; schedule Practical Action / ELMEC follow-up.</t>
  </si>
  <si>
    <t>Second consecutive week with zero closed. CLASP ($10k) progressed but now gated on Ministry of Education curriculum approval. Prisons gated on Dennis. Both anchors (Prisons, Rockefeller $150k) still upstream. Week 3 of 13.</t>
  </si>
  <si>
    <t>Unblock Prisons direction; chase MoE on CLASP curriculum; convert at least one line.</t>
  </si>
  <si>
    <t>Good delivery: TECTONA SLA SIGNED, governance manual V2, KIRDI testing done, data room progressing, domain/DNS/Workspace resolved. But the Dennis queue COMPOUNDED (all four leads waiting) and Dennis has not reported in W2 or W3.</t>
  </si>
  <si>
    <t>Clear the Dennis queue as a batch; get Dennis reporting; report data-room status.</t>
  </si>
  <si>
    <t>NO REPORT SUBMITTED (W2 and W3)</t>
  </si>
  <si>
    <t>No five lines received for a second week; several team items awaiting his direction.</t>
  </si>
  <si>
    <t>Submit CEO numbers + five lines; clear the unblock queue (Prisons scenarios, KIPI, card credentials, Makueni).</t>
  </si>
  <si>
    <t>—</t>
  </si>
  <si>
    <t>CLASP; KCB &amp; RF meetings; MDG TWG; TECTONA; partner positioning</t>
  </si>
  <si>
    <t>TECTONA SLA SIGNED. KCB &amp; Rockefeller meetings held. Mama Doing Good TWG convened (strong CCIQ interest). Practical Action 2027–30 consultation — CCIQ positioned, ELMEC follow-up planned; IGNIS to be profiled to UK PACT. CLASP $10k progressed. No revenue closed.</t>
  </si>
  <si>
    <t>Makueni County stalled &gt;14 days — no meeting date confirmed despite follow-up. CLASP now gated on MoE curriculum approval.</t>
  </si>
  <si>
    <t>Chase Makueni for a date; chase MoE on curriculum; schedule Practical Action/ELMEC follow-up.</t>
  </si>
  <si>
    <t>Dennis: availability for a Makueni meeting next week at short notice.</t>
  </si>
  <si>
    <t>Prisons cost scenarios; WRI ToR; IRENA; MDG TWG</t>
  </si>
  <si>
    <t>Prisons: two costed scenarios submitted to Dennis (integrated steam + direct LPG; firewood concessional vs open-market). WRI: drafted Energy ToR for National Clean Cooking Assessment. IRENA: Ignis positioned as finance lead using CCIQ for Taita Taveta school/SME pipeline. MDG TWG attended. No revenue closed; no big win reported.</t>
  </si>
  <si>
    <t>FSD still stalled (2nd week) — blocker internal to FSD. Prisons scenarios now waiting on Dennis's direction.</t>
  </si>
  <si>
    <t>Dennis: direct on which scenario(s) to submit to the TWG Secretariat — time-critical vs their retreat. Wilson: chase FSD.</t>
  </si>
  <si>
    <t>Dennis: feedback on the two cost scenarios — which to submit, or present both.</t>
  </si>
  <si>
    <t>KIRDI testing; governance manual V2; KIPI trademark; EPRA ESCO; data room (rolling)</t>
  </si>
  <si>
    <t>KIRDI testing DONE. Workplace Governance manual V2 DONE. Series A data room ONGOING and materially populated — company docs current incl. TCC, governance manual filed, EPRA ESCO + KIPI trademark registrations in flight (both feed the data room).</t>
  </si>
  <si>
    <t>KIPI go-ahead + EPRA support needed from Dennis. Registrations depend on external timelines (EPRA/KIPI).</t>
  </si>
  <si>
    <t>Define what 'data room live' means for 31 Jul (structured + populated, in-flight registrations flagged pending). Dennis: KIPI go-ahead + EPRA support.</t>
  </si>
  <si>
    <t>Dennis: go-ahead on KIPI trademark and support on EPRA registration.</t>
  </si>
  <si>
    <t>Domain transfer/DNS; Jikoni module; Workspace migration</t>
  </si>
  <si>
    <t>Domain acquired and added to Namecheap; Cloudflare set up and DNS records configured (fixed email issues from transfer). One Jikoni module completed. Google Workspace login now working — migration can proceed.</t>
  </si>
  <si>
    <t>Awaiting Dennis's card credentials. No CCIQ platform / launch status reported (3rd consecutive week). No uptime line this week.</t>
  </si>
  <si>
    <t>Dennis: provide card credentials. Brian: complete Workspace migration + Jikoni module; report CCIQ platform status.</t>
  </si>
  <si>
    <t>Dennis: card credentials.</t>
  </si>
  <si>
    <t>WEEK 4   ·   w/c 20 Jul</t>
  </si>
  <si>
    <t>Equity Group Foundation opens a major new line; IRENA submitted; C40/ECCA drafted; KIRDI done. Prisons has clear direction now (TCO 7-yr savings) — Dennis+Wilson finalising. CCIQ launch moved with its (postponed) event — not a gap.</t>
  </si>
  <si>
    <t>Land the Prisons TCO submission; scope Equity origination + LPG DMRV; set the CCIQ launch date once the event reschedules.</t>
  </si>
  <si>
    <t>Best week yet: FSD unstuck (working session 30 Jul); Equity Group Foundation at CEO level; Makueni MOU pathway agreed (signing ~2 wks); IRENA submitted; C40/ECCA; Practical Action profiling. Momentum broad — not yet conversion.</t>
  </si>
  <si>
    <t>Convert momentum: hold FSD 30 Jul session; land Makueni MOU; progress Equity faith-based proposal.</t>
  </si>
  <si>
    <t>Third consecutive week zero closed. Pipeline now rich (Equity, IRENA, Makueni, CLASP, Prisons) but nothing converted; CLASP gated on MoE approval; Prisons gated on Dennis. Week 4 of 13 — clock is the concern.</t>
  </si>
  <si>
    <t>Force a first conversion; unblock Prisons; land Makueni MOU within 2 weeks.</t>
  </si>
  <si>
    <t>Strong delivery: TECTONA SLA closed, KIPI TM2 submitted, CCIQ TCs/Privacy drafted, Jikoni modules supported, KIRDI done, platform STABLE with CESA + docs uploaded. Dennis engaged (verbal updates). EPRA plan set (Wed visit). Outstanding: demo dates.</t>
  </si>
  <si>
    <t>Capture Dennis's updates into the cockpit; EPRA Wed visit; complete TECTONA signing + kickoff.</t>
  </si>
  <si>
    <t>Steering: Prisons, FSD, KCB, Sierra Leone, IRENA, TECTONA, C40, EPRA</t>
  </si>
  <si>
    <t>Captured from 20 Jul meeting (verbal). Prisons: added options, secured feedback to frame on Total Cost of Ownership (7+ yrs savings); finalising submission with Wilson this week. FSD: exchanging structure/fund-mgmt notes (wants faster). KCB: positioned Ignis as implementation platform (procurement/repayments/CS for a fee); proposal sent. Sierra Leone: founder wants capital moved before Nov summit — scheduling calls (Wed). IRENA (~$10k) submitted via consortium. TECTONA inputs added. EPRA: register as NESCo (heat+cool). C40: seeking Ethiopian partner.</t>
  </si>
  <si>
    <t>Throughput: many workstreams route through him; some (FSD) slower than he'd like. Not a report gap — updates come verbally.</t>
  </si>
  <si>
    <t>Joan to capture Dennis's meeting update into this row each week (no separate 5 lines needed). Delegate decision rights where possible.</t>
  </si>
  <si>
    <t>Equity concept note; Makueni; Practical Action; CLASP planning</t>
  </si>
  <si>
    <t>Equity Bank: faith-based schools concept note (Neema) developed, proposal in prep; chasing Equity–Dennis meeting via Eric. Makueni: successful meeting, MOU pathway agreed (signing ~2 wks) + joint workplan. Practical Action profiling interview. CLASP: student-attachment planning (Sam Omusala / Techwin). No revenue closed.</t>
  </si>
  <si>
    <t>Sierra Leone/AfriGas stalled &gt;14 days — awaiting Dennis feedback/direction.</t>
  </si>
  <si>
    <t>Land Makueni MOU (2 wks); progress Equity proposal; Dennis to feed back on Sierra Leone.</t>
  </si>
  <si>
    <t>Dennis: feedback + pathway on Sierra Leone/AfriGas; availability for Makueni next week.</t>
  </si>
  <si>
    <t>Prisons benchmarking; Equity Group Foundation; C40/ECCA; FSD; IRENA</t>
  </si>
  <si>
    <t>Prisons: benchmarked Chinese steam providers (still high) — shared with Dennis for direction. Equity Group Foundation: CEO-level exploratory meeting — positioning Ignis as origination+deployment engine via CCIQ + possible dMRV over their 238 sites; faith-based proposal (with Elizabeth) + dMRV LPG research near ready. C40/ECCA: Addis hospitality technical proposal + workplan drafted. FSD: working session secured 30 Jul. IRENA: proposal submitted (MECS, CCAK, Taita Taveta). No revenue closed.</t>
  </si>
  <si>
    <t>FSD no longer stalled (session 30 Jul). Prisons quote/approach waiting on Dennis.</t>
  </si>
  <si>
    <t>Dennis: direct on Prisons amounts/approach for TWG. Wilson: progress Equity + dMRV; run FSD 30 Jul session.</t>
  </si>
  <si>
    <t>Dennis: feedback on the Prisons TWG approach given the amounts we need to quote.</t>
  </si>
  <si>
    <t>TECTONA close; KIPI TM2; Jikoni modules; CCIQ TCs; EPRA</t>
  </si>
  <si>
    <t>TECTONA SLA closed — signing + kickoff meeting remaining. KIPI: TM2 form submitted, awaiting response. Jikoni: authored module functional spec + clickable prototype and coordinated build (supported Brian on 2 modules). Drafted CCIQ Terms &amp; Privacy Policy. EPRA not moved.</t>
  </si>
  <si>
    <t>EPRA: plan now in place — Wed visit with Dennis to register as NESCo (heating + cooling), not just electricity ESCO. CCIQ TCs/Privacy need team review.</t>
  </si>
  <si>
    <t>EPRA visit Wed (register heat+cool NESCo); team to review CCIQ TCs &amp; Privacy; complete TECTONA signing + kickoff.</t>
  </si>
  <si>
    <t>Team: review the CCIQ Terms &amp; Privacy Policy and share feedback.</t>
  </si>
  <si>
    <t>Jikoni modules; email + OneDrive migration; DNS</t>
  </si>
  <si>
    <t>Platform STABLE (confirmed independently). CESA agreements + built documents uploaded to CCIQ. Jikoni modules progressing (built to Joan's spec); Connect tool demo due this week. Email + OneDrive migration to Workspace underway; DNS fully propagated.</t>
  </si>
  <si>
    <t>No blocker on delivery. Outstanding: demo/walkthrough dates not yet sent (Jikoni + CCIQ platform review of uploaded docs) — asked at 20 Jul meeting, not yet converted.</t>
  </si>
  <si>
    <t>Send demo dates: Jikoni modules + CCIQ platform walkthrough (review uploaded CESA agreements &amp; documents).</t>
  </si>
  <si>
    <t>(none named — reports would benefit from a blocker + 'commitments next week' line)</t>
  </si>
  <si>
    <t>WEEK 5   ·   w/c 27 Jul</t>
  </si>
  <si>
    <t>IRENA countersigned (execution next week); C40 Addis submitted; DMRV moving (4RDigital carbon + LPG research); Jikoni landing. Prisons still awaiting Dennis; CCIQ launch pending event reschedule.</t>
  </si>
  <si>
    <t>Return Prisons direction; progress 4RDigital carbon framework; set CCIQ launch date.</t>
  </si>
  <si>
    <t>Strong 2nd green week: FSD 30 Jul session landed with distributed ownership + methodology doc; Equity MOU reviewed (circulating); Makueni workplan done (MOU pathway); IRENA consortium; 4RDigital scoped; Practical Action profiling. KCB (Eric) the one lag.</t>
  </si>
  <si>
    <t>Land Makueni + Equity MOUs once Dennis clears; deliver FSD methodology doc; secure KCB–Dennis meeting.</t>
  </si>
  <si>
    <t>FIRST signed engagement (IRENA countersigned, ~$10–15k) — streak broken. But small vs $100k floor; anchors (Prisons, Rockefeller) still upstream; CLASP with MoE. Week 5 of 13.</t>
  </si>
  <si>
    <t>Convert an anchor; layer signed engagements toward the floor; size burn/runway from July reconciliation.</t>
  </si>
  <si>
    <t>Best Team week: Jikoni landing (demo Fri), TECTONA signed, EPRA started + permit, July expenses reconciled, UNDP DD, Finance &amp; Travel Guidelines, Claude set up, governance done. Cockpit cadence holding. Dennis's line to be captured at next meeting.</t>
  </si>
  <si>
    <t>Land Jikoni (Wed); complete EPRA + UNDP DD; capture Dennis's update into the cockpit.</t>
  </si>
  <si>
    <t>Makueni workplan; Equity MOU; 4RDigital dMRV; FSD tasks; TECTONA</t>
  </si>
  <si>
    <t>Makueni implementation workplan COMPLETED; Equity Bank MOU reviewed — both to circulate this week (pending Dennis clearance). 4RDigital scoping session held — carbon dMRV collaboration scoped; framework design next. FSD: leading pipeline extract + aligning TECTONA survey to FSD methodology + supporting bank diagnostic. TECTONA to inception this week (field data from 10 Aug). Practical Action profiling feedback due.</t>
  </si>
  <si>
    <t>KCB stalled — still chasing Eric for a KCB–Dennis meeting. Mama Doing Good — awaiting next TWG date.</t>
  </si>
  <si>
    <t>Circulate Makueni workplan + Equity MOU once Dennis clears; progress 4RDigital framework; run FSD pipeline extract; chase Eric (KCB) + MDG date.</t>
  </si>
  <si>
    <t>Dennis: review &amp; clear the final Makueni workplan and Equity Bank MOU for onward sharing.</t>
  </si>
  <si>
    <t>IRENA; FSD 30 Jul session; C40; Equity; Prisons</t>
  </si>
  <si>
    <t>IRENA: proposal ACCEPTED + project agreement COUNTERSIGNED — execution starts next week (Gamos/MECS, CCAK, Taita Taveta). FSD: 30 Jul session held — additionality, bank engagement, flow-of-funds, fund-mgmt progressed, next steps + owners set; Wilson leading methodology doc + Bank Experience Diagnostic. C40/ECCA Addis: technical+financial proposal submitted. Equity faith-based proposal + LPG dMRV research in final edits.</t>
  </si>
  <si>
    <t>Prisons: no movement — quotation breakdown still with Dennis.</t>
  </si>
  <si>
    <t>Lead FSD methodology doc + diagnostic (with Elizabeth, Joan); finalise Equity proposal + LPG dMRV; mobilise IRENA. Dennis: Prisons feedback.</t>
  </si>
  <si>
    <t>(none this week)</t>
  </si>
  <si>
    <t>TECTONA; EPRA+permit; July expenses; UNDP DD; Finance &amp; Travel guidelines; Jikoni; CCIQ T&amp;Cs</t>
  </si>
  <si>
    <t>TECTONA SLA SIGNED — kickoff Tue. EPRA registration starting + business permit. July expenses reconciled. Working on UNDP due-diligence documents. Company Finance &amp; Travel Guidelines drafted. Supported Brian on Jikoni build — demo held Fri; most modules built; fully running by Wed EOD. CCIQ T&amp;Cs + Privacy drafted (team review pending). [UNDP DD, expenses &amp; guidelines feed the data room.]</t>
  </si>
  <si>
    <t>CCIQ T&amp;Cs/Privacy still awaiting team review (raised 2nd week).</t>
  </si>
  <si>
    <t>Run TECTONA kickoff Tue; complete EPRA + permit; land Jikoni (Wed EOD); finish UNDP DD; chase team on T&amp;Cs/Privacy review.</t>
  </si>
  <si>
    <t>Jikoni ERP modules; Claude setup</t>
  </si>
  <si>
    <t>Jikoni ERP: initial modules set up (demo held Fri with Joan; fully running Wed EOD). Set up Claude for the team. Platform stable. Next: complete remaining Jikoni modules; add team members to Claude.</t>
  </si>
  <si>
    <t>No blockers. (Report still light on uptime / CCIQ platform line — schedule the platform walkthrough.)</t>
  </si>
  <si>
    <t>Complete remaining Jikoni modules; add team to Claude; schedule CCIQ platform walkthrough of uploaded docs.</t>
  </si>
  <si>
    <t>(none — Claude access resolved by setting it up)</t>
  </si>
  <si>
    <t>WEEK 6   ·   w/c 03 Aug</t>
  </si>
  <si>
    <t>IRENA formally underway (6-mo project, 4 stages); DMRV advancing (4RDigital carbon + Equity LPG dMRV V1); CIFF/WRI AssetCo pilot plan off FSD architecture; Sierra Leone regional (First Lady Nov). Brian building CCIQ Taita Taveta instance. PRISONS status unknown; CCIQ launch pending event.</t>
  </si>
  <si>
    <t>Answer the Prisons question; run AssetCo institution visits; progress DMRV frameworks; set CCIQ launch date.</t>
  </si>
  <si>
    <t>Strong 3rd green week: FSD MoU drafting with ROLES DEFINED (architect/anchor investor vs originator/operator/dMRV owner); Equity V1 submitted; IRENA consortium aligned; Coop Bank/Foundation opened; Makueni workplan approved; 4RDigital scoped. Lags: KCB (Eric), Machakos (County Attorney).</t>
  </si>
  <si>
    <t>Execute the FSD MoU; clear Equity MOU (Dennis); land Makueni meeting; carry Coop Bank forward.</t>
  </si>
  <si>
    <t>No NEW revenue closed this week. IRENA underway (only signed engagement, ~6-mo). Path to $100k floor now uncertain: Prisons (biggest line) status unknown; Rockefeller upstream; CLASP with MoE. Week 6 of 13 — half the quarter gone, floor not yet in sight.</t>
  </si>
  <si>
    <t>Resolve Prisons; convert Rockefeller or an anchor; size burn/runway; layer signed engagements.</t>
  </si>
  <si>
    <t>Best Team week: FIRST full 5/5 reporting (Dennis async first time); Jikoni LIVE; Claude rolled out + team onboarded; SharePoint→Drive done; business permit; EPRA started; DREEM + UNDP DD + Finance guidelines; coordinated CCIQ costing split. Cadence fully landed.</t>
  </si>
  <si>
    <t>Close EPRA + KIPI; maintain 5/5 cadence; keep systems + compliance moving.</t>
  </si>
  <si>
    <t>IRENA; Sierra Leone; Coop Bank; FSD; CIFF/WRI AssetCo; TECTONA; Ops</t>
  </si>
  <si>
    <t>[First async report submitted.] IRENA countersigned Aug 3, kickoff Aug 7 (formally underway); tasked Brian with CCIQ instance for Taita Taveta (demo Mon). Sierra Leone: plan agreed — regional convening + in-country CCIQ + First Lady convening (Freetown, Nov). Coop Bank/Foundation: new conversations opened. FSD: heading to MoU. CIFF/WRI: AssetCo pilot plan off FSD architecture; institution visits next to pick cohort. TECTONA: reworked + returned consent/data-protection docs to Elizabeth. Ops: SharePoint→Drive, Workspace billing, Claude Team rollout with 1:1 onboarding.</t>
  </si>
  <si>
    <t>None flagged. (Equity MOU + Makueni meeting still await his action per Elizabeth.)</t>
  </si>
  <si>
    <t>Sierra Leone First Lady's office meeting; CIFF/WRI institution visits; model AssetCo contract; clear Equity MOU; watch World Bank/GEAPP calls.</t>
  </si>
  <si>
    <t>Makueni; Equity MOU; TECTONA; 4RDigital; IRENA; Sierra Leone</t>
  </si>
  <si>
    <t>Makueni workplan approved &amp; shared with Naomi (awaiting review meeting). Equity MOU ready for final internal feedback (sharing this week). TECTONA moved contracting→implementation; field data now 31 Aug (schools reopen 24 Aug). IRENA kickoff done — IGNIS to leverage CCIQ + A2CT data for investable portfolios (Taita Taveta). 4RDigital scope defined; next meeting firms timelines. Sierra Leone diagnostic progressed — regional West Africa questionnaire next.</t>
  </si>
  <si>
    <t>Makueni (awaiting meeting date); Machakos MOU with County Attorney (follow up); Equity MOU awaiting Dennis final feedback.</t>
  </si>
  <si>
    <t>Share Equity MOU + TECTONA package once Dennis clears; prep enumerator training (field data 31 Aug); chase Makueni meeting + Machakos; firm 4RDigital timelines.</t>
  </si>
  <si>
    <t>Dennis: final clearance on Equity MOU + TECTONA data-protection/consent/questionnaire docs.</t>
  </si>
  <si>
    <t>FSD MoU; IRENA kickoff; Equity V1; CCIQ costing</t>
  </si>
  <si>
    <t>FSD: received 30 Jul notes/presentation + notice of draft MoU; MoU drafting underway with ROLES DEFINED — FSD as transaction architect/anchor catalytic investor, Ignis/CCIQ as originator, platform operator &amp; dMRV owner. IRENA: formal kickoff — 6-month project (through 31 Jan 2027), 4 stages; Kavita (IRENA) visits Kenya 30 Aug. Equity: faith-based proposal + LPG dMRV research submitted V1 for team feedback. CCIQ costing sync — work split by fuel (Wilson: firewood/charcoal + briquettes). No revenue closed.</t>
  </si>
  <si>
    <t>None flagged. NOTE: Prisons unmentioned again — owner is Wilson; status now unknown (see decision log).</t>
  </si>
  <si>
    <t>Advance FSD MoU; run IRENA next steps (A2CT data review, data-gaps session, late-Aug workshop); collect Equity V1 feedback. CONFIRM Prisons status.</t>
  </si>
  <si>
    <t>Business permit; EPRA; Jikoni; DREEM application; CCIQ costing (biogas)</t>
  </si>
  <si>
    <t>Business permit obtained. EPRA application started (ongoing). Jikoni live (supported build; now in production). DREEM application started (ongoing). Owning biogas scenario in CCIQ costing work-split.</t>
  </si>
  <si>
    <t>None flagged.</t>
  </si>
  <si>
    <t>Close EPRA; follow up KIPI trademark; close Claude with Brian; close DREEM application.</t>
  </si>
  <si>
    <t>Jikoni live; Claude+Workspace; onboarding; SharePoint migration</t>
  </si>
  <si>
    <t>Jikoni tool FINALISED — live/working in production. Claude integrated with Workspace (Drive, Gmail, Calendar). Team onboarded onto Claude + access setup. SharePoint documents migrated to Drive. Next: CCIQ instance for Taita Taveta (demo Mon).</t>
  </si>
  <si>
    <t>None. (CCIQ platform walkthrough of uploaded docs still to schedule.)</t>
  </si>
  <si>
    <t>Stand up CCIQ instance for Taita Taveta (demo Mon); schedule CCIQ platform walkthrough.</t>
  </si>
  <si>
    <t>(none)</t>
  </si>
  <si>
    <t>WEEK 7   ·   w/c 10 Aug</t>
  </si>
  <si>
    <t>IRENA/Taita DELIVERING — baseline analysis (409 records) commended, shortlist of 8+8 underway. Prisons RESUMED (procurement advocacy). AssetCo model maturing across FSD/CIFF-WRI/Zambia. CCIQ Taita instance live; website in build. Delivery is structuring, not yet deploying; launch pending.</t>
  </si>
  <si>
    <t>Advance IRENA shortlisting + convening; progress AssetCo pilots; set CCIQ launch date.</t>
  </si>
  <si>
    <t>Strong 4th green week: FSD MoU tracked-changes with FSD since 15 Aug — signing 17–18 Aug (IP/Non-Circ/Data-Protection clauses added by Joan); Gamos/Ignis MOU; Zambia/CES structure; Mercy Corps Intent-to-Bid; IRENA consortium delivering.</t>
  </si>
  <si>
    <t>SIGN the FSD MoU (17–18 Aug); action IRENA sub-agreement; carry Zambia/CES + Mercy Corps forward.</t>
  </si>
  <si>
    <t>$11K signed of $100K floor this week: IRENA + CCAK confirmed at $8,000 (revised down from the earlier $15,000 estimate) plus a new, separate $3,000 short-term energy consultancy (Dennis). Financial Model v1 done. Prisons and Rockefeller ($150k) remain the two big unconverted anchors.</t>
  </si>
  <si>
    <t>State burn/runway from the Financial Model; force one big close; decide on the floor target.</t>
  </si>
  <si>
    <t>3rd green week: full reporting (Elizabeth excused); Jikoni live; Taita CCIQ stood up; website in build; heavy deal documentation (FSD workplan, CESA v7, Gamos MOU); DREEM finalised; EPRA + KIPI ongoing.</t>
  </si>
  <si>
    <t>Close EPRA + KIPI; hold cadence; keep deal docs + systems moving.</t>
  </si>
  <si>
    <t>Revenue/Financial Model; FSD MoU; Taita/CCIQ; KCB; WRI/CIFF retreat</t>
  </si>
  <si>
    <t>$3K CLOSED vs $100K Q3 target (first hard figure). Ignis Financial Model v1 DONE — end-to-end view of institution-business revenue streams. FSD MoU advanced (signing 17–18 Aug). Taita Taveta data in hand; CCIQ instance stood up (IRENA/Gamos/CCAK). Priorities: KCB, Harun LPO, WRI/CIFF clean-cooking retreat, West Africa follow-up.</t>
  </si>
  <si>
    <t>Sign FSD MoU (17–18 Aug); KCB conversation; WRI/CIFF retreat; use Financial Model to size burn/runway + revenue path.</t>
  </si>
  <si>
    <t>No report — unwell this week (excused).</t>
  </si>
  <si>
    <t>Prisons advocacy; IRENA/Taita analysis; FSD MoU; CESA v7; Mercy Corps; Zambia/CES</t>
  </si>
  <si>
    <t>PRISONS RESUMED — pivoted from direct bid to procurement advocacy: Treasury letter (12 Aug) demanding baseline data, technology-neutral competitive procurement (PPADA), lifecycle costing — positions Ignis's approach as the standard. IRENA/Taita: baseline analysis presented (409 records, 4 categories); Gamos commended; shortlist of 8 institutions + 8 SMEs; weekly check-in (next 21 Aug). FSD: 90-day workplan received; MoU signing 17–18 Aug. CESA v7 (Joan) now with Wilson to condense 27→15pp. Mercy Corps HQ749 Intent-to-Bid submitted. Zambia/CES collaboration (CCIQ SaaS / Ignis AssetCo / CES financier).</t>
  </si>
  <si>
    <t>None — Prisons resumed via advocacy; IRENA sub-agreement has 2 comments pending team input.</t>
  </si>
  <si>
    <t>Condense CESA to ~15pp; action IRENA sub-agreement; compile CES needs doc + find Zambia co-funder (20 Aug); progress FSD MoU signing.</t>
  </si>
  <si>
    <t>FSD 90-day workplan; CESA v7; Gamos MOU; DREEM; EPRA; KIPI</t>
  </si>
  <si>
    <t>Prepared FSD–Ignis 90-day workplan (shared with Wilson). FSD MoU: added 3 new clauses (IP, Non-Circumvention, Data Protection) on top of Dennis's — Dennis sent the tracked-changes version to FSD's Robert Akunga on 15 Aug; signing targeted 17–18 Aug. Prepared CESA v7 (Dennis's 4 changes) → shared with Wilson to condense. Reviewed Gamos/Ignis MOU. DREEM application FINALISED &amp; shared. EPRA ESCO ongoing. Trademark T2 ongoing (awaiting KIPI).</t>
  </si>
  <si>
    <t>KIPI feedback awaited (trademark). EPRA registration still to close.</t>
  </si>
  <si>
    <t>Close EPRA; chase KIPI trademark; support FSD MoU signing (17–18 Aug) + CESA finalisation.</t>
  </si>
  <si>
    <t>Jikoni subdomain/live; Taita on CCIQ; website demo</t>
  </si>
  <si>
    <t>Configured Jikoni subdomain; pushing Jikoni to live. Set up Taita Taveta programme on CCIQ + invited team. Website draft demo Monday. Next: website development + push to live.</t>
  </si>
  <si>
    <t>Push Jikoni live; website demo Mon → develop + push live; support Taita CCIQ processing.</t>
  </si>
  <si>
    <t>WEEK 8   ·   w/c 17 Aug</t>
  </si>
  <si>
    <t>RAG UNSET — 2 of 5 reported. Voi convening (26 Aug) restructured to one integrated day with a Financing Forum; Tectona fieldwork rerouted, Mui MoU still delayed; DMRV at risk after 4RDigital deferral. Nothing heard on CCIQ or platform.</t>
  </si>
  <si>
    <t>Deliver Voi convening (26 Aug); get KOBO + ToT status; re-date the DMRV target.</t>
  </si>
  <si>
    <t>RAG UNSET — the deciding fact is missing: FSD MoU signature targeted 17–18 Aug, unconfirmed either way. Elsewhere strong: CESA at 14pp with one open item; IRENA sub-agreement cleared to execute; Zambia/CES priorities agreed (call 3 Sep).</t>
  </si>
  <si>
    <t>Yes or no on the FSD MoU from Dennis; close CESA Annex A (25 Aug); execute IRENA sub-agreement.</t>
  </si>
  <si>
    <t>RAG UNSET — no new close; holds at $11K of the $100K floor at wk 8/13. Dennis and Elizabeth, who own every remaining line, did not report. Restated FY26 financials now in hand — burn/runway can finally be stated.</t>
  </si>
  <si>
    <t>Put burn/runway on the home tab; take the $100K floor decision with Dennis.</t>
  </si>
  <si>
    <t>RAG UNSET — reporting fell to 2 of 5, worst of the quarter and the first with 3 unexcused misses including the MD. Output from the two who reported was strong: CESA 27→14pp, FY26 review owned, WHT filed, ELMECC interview. Cadence slipped, not work.</t>
  </si>
  <si>
    <t>Reset the five-line expectation with Dennis, Elizabeth and Brian before the next cockpit.</t>
  </si>
  <si>
    <t>FSD MoU signing; KCB; WRI/CIFF retreat; burn/runway from Financial Model</t>
  </si>
  <si>
    <t>NO REPORT (not excused).</t>
  </si>
  <si>
    <t>Reporting miss — W8.</t>
  </si>
  <si>
    <t>Confirm FSD MoU signed or not + new date; KCB and WRI/CIFF outcomes → Joan before next cockpit.</t>
  </si>
  <si>
    <t>Rockefeller; CLASP; UNDP amount; Equity MOU; Tectona ToT</t>
  </si>
  <si>
    <t>NO REPORT (not excused). Via Wilson: circulated the enumerator training manual to the team 20 Aug, ahead of next week's ToT/enumerator training.</t>
  </si>
  <si>
    <t>Reporting miss — W8. 2nd consecutive week (W7 excused, W8 not).</t>
  </si>
  <si>
    <t>Joan to raise directly. Rockefeller, CLASP, UNDP amount, Tectona ToT all still owed.</t>
  </si>
  <si>
    <t>CESA condense; IRENA sub-agreement; CES needs doc; Zambia co-funder; FSD MoU</t>
  </si>
  <si>
    <t>None flagged. Annex A cap open; Mui MoU delayed; Mercy Corps RFP not issued.</t>
  </si>
  <si>
    <t>Close Annex A (25 Aug) → CESA sign-off; execute IRENA sub-agreement with Gamos; run Voi convening (26 Aug); CES needs doc before 3 Sep.</t>
  </si>
  <si>
    <t>EPRA; KIPI; FSD MoU signing; CESA finalisation</t>
  </si>
  <si>
    <t>FSD MoU signature unconfirmed by anyone. EPRA + KIPI not reported this week. 3 of 5 did not report.</t>
  </si>
  <si>
    <t>Confirm FSD MoU status with Dennis; chair CESA session (25 Aug); state burn/runway from restated financials; close EPRA + KIPI.</t>
  </si>
  <si>
    <t>FSD MoU signature confirmation — Dennis.</t>
  </si>
  <si>
    <t>Jikoni live; website demo → live; Taita CCIQ processing</t>
  </si>
  <si>
    <t>NO REPORT (not excused). Via Wilson: tasked 20 Aug to confirm the KOBO questionnaire is uploaded and tested ahead of ToT.</t>
  </si>
  <si>
    <t>Confirm KOBO questionnaire uploaded + tested (tasked 20 Aug); website status; CCIQ walkthrough → Joan.</t>
  </si>
  <si>
    <t>WEEK 9   ·   w/c 24 Aug</t>
  </si>
  <si>
    <t>WEEK 10   ·   w/c 31 Aug</t>
  </si>
  <si>
    <t>WEEK 11   ·   w/c 07 Sep</t>
  </si>
  <si>
    <t>WEEK 12   ·   w/c 14 Sep</t>
  </si>
  <si>
    <t>WEEK 13   ·   w/c 21 Sep</t>
  </si>
  <si>
    <t>SCORECARD — Q3 2026</t>
  </si>
  <si>
    <t>Fixed quarter targets under the four north stars · the run-sheet is the weekly pulse; this is the target ledger</t>
  </si>
  <si>
    <t>Target / Key Result</t>
  </si>
  <si>
    <t>Due / Amount</t>
  </si>
  <si>
    <t>This week — progress / evidence</t>
  </si>
  <si>
    <t>Notes</t>
  </si>
  <si>
    <t>PROGRAMMES — what the money builds &amp; delivers</t>
  </si>
  <si>
    <t>Prisons technology slot won + payment terms confirmed</t>
  </si>
  <si>
    <t>7 Jul / 31 Jul</t>
  </si>
  <si>
    <t>RESUMED as procurement advocacy (Treasury letter) — reframing to technology-neutral competitive process; revenue timing uncertain</t>
  </si>
  <si>
    <t>Also Revenue ($70–100k)</t>
  </si>
  <si>
    <t>CCIQ platform launched (launch-ready by 9 Jul)</t>
  </si>
  <si>
    <t>Dennis (acc.) / Wilson</t>
  </si>
  <si>
    <t>9 Jul</t>
  </si>
  <si>
    <t>CESA Institution facing agreement cut from 27 to 14 pages plus 3 schedules (18 Aug), one open item; Taita instance live; no platform or launch update received in W8</t>
  </si>
  <si>
    <t>Launch PMO off Joan; Dennis accountable, Wilson logistics, Brian tech-readiness</t>
  </si>
  <si>
    <t>Uganda market entry — entity registered</t>
  </si>
  <si>
    <t>15 Aug</t>
  </si>
  <si>
    <t>Entry scoping; entity not yet registered</t>
  </si>
  <si>
    <t>Also Revenue ($20k)</t>
  </si>
  <si>
    <t>Sierra Leone — 20 schools licensed · SEforALL EPC RFP</t>
  </si>
  <si>
    <t>Wilson / Dennis</t>
  </si>
  <si>
    <t>Q3</t>
  </si>
  <si>
    <t>Founder traction (Nov Sierra Leone summit); calls being scheduled</t>
  </si>
  <si>
    <t>Also Revenue (TBD)</t>
  </si>
  <si>
    <t>Household Programme pilot structure defined (investor-ready)</t>
  </si>
  <si>
    <t>30 Sep</t>
  </si>
  <si>
    <t>Early; induction-cooker testing feeds household learnings</t>
  </si>
  <si>
    <t>DMRV provider selected &amp; contracted</t>
  </si>
  <si>
    <t>Wilson / Brian</t>
  </si>
  <si>
    <t>31 Aug</t>
  </si>
  <si>
    <t>AT RISK for 31 Aug: 4R Digital platform decision deferred (18 Aug) pending hardware manufacturing; GSM remote control still needed</t>
  </si>
  <si>
    <t>Technical + commercial</t>
  </si>
  <si>
    <t>IEA Summit narrative &amp; market positioning</t>
  </si>
  <si>
    <t>PARTNERSHIPS — the six strategic relationships</t>
  </si>
  <si>
    <t>FSD Africa: signed &amp; publicly announced</t>
  </si>
  <si>
    <t>Signature targeted 17 to 18 Aug, NOT CONFIRMED by anyone in W8; tracked changes MoU with FSD since 15 Aug</t>
  </si>
  <si>
    <t>Rockefeller + CIFF: concept note -&gt; MOU / LOI</t>
  </si>
  <si>
    <t>RF meeting held; concept note advancing</t>
  </si>
  <si>
    <t>FLAG: concept-note 4 Jul vs 31 Jul — reconcile</t>
  </si>
  <si>
    <t>GEAPP / Mission 300: CDMU proposal submitted</t>
  </si>
  <si>
    <t>Elizabeth / Wilson</t>
  </si>
  <si>
    <t>31 Jul</t>
  </si>
  <si>
    <t>CDMU alignment map submitted; formal proposal date TBC</t>
  </si>
  <si>
    <t>FLAG: 31 Jul vs 31 Aug — reconcile</t>
  </si>
  <si>
    <t>KCB: joint call held + next step agreed</t>
  </si>
  <si>
    <t>Positioned as implementation platform; still chasing Eric for the KCB–Dennis meeting</t>
  </si>
  <si>
    <t>Caritas: MOU / data-sharing agreement signed</t>
  </si>
  <si>
    <t>In pipeline; MOU not yet advanced</t>
  </si>
  <si>
    <t>AfDB: formal engagement letter / MOU</t>
  </si>
  <si>
    <t>Anchor funder conversation active (named contact + next step)</t>
  </si>
  <si>
    <t>Multiple funder conversations active; no single anchor locked</t>
  </si>
  <si>
    <t>Equity Bank (Julius) relationship advanced</t>
  </si>
  <si>
    <t>Equity Bank invited into the 26 Aug Voi financing session alongside KCB, Qwetu SACCO, Caritas Microfinance and Co operative Bank</t>
  </si>
  <si>
    <t>15 CCIQ solution providers onboarded</t>
  </si>
  <si>
    <t>REVENUE — all money in · $100,000 floor (full $ tracker on Cockpit home)</t>
  </si>
  <si>
    <t>$70k–100k</t>
  </si>
  <si>
    <t>In progress; no $ closed yet</t>
  </si>
  <si>
    <t>$150k</t>
  </si>
  <si>
    <t>Meeting held; upstream</t>
  </si>
  <si>
    <t>$10k</t>
  </si>
  <si>
    <t>Curriculum with Ministry of Education for approval; attachments planning</t>
  </si>
  <si>
    <t>TBD</t>
  </si>
  <si>
    <t>Amount TBC</t>
  </si>
  <si>
    <t>Elizabeth — amount to confirm</t>
  </si>
  <si>
    <t>$8k (confirmed, revised from $15k est.)</t>
  </si>
  <si>
    <t>Sub agreement cleared by Dennis 16 Aug, ready to execute with Gamos; 26 Aug Voi convening restructured to one integrated full day with a Financing Forum session</t>
  </si>
  <si>
    <t>$20k</t>
  </si>
  <si>
    <t>Scoping</t>
  </si>
  <si>
    <t>Founder traction</t>
  </si>
  <si>
    <t>Dennis — amount to confirm</t>
  </si>
  <si>
    <t>TEAM — ownership, cadence, systems, compliance</t>
  </si>
  <si>
    <t>Weekly cockpit runs 12 of 13 weeks, facilitated by Joan</t>
  </si>
  <si>
    <t>Weekly</t>
  </si>
  <si>
    <t>Running weekly; W8 reporting fell to 2 of 5 (Wilson, Joan) with three unexcused misses</t>
  </si>
  <si>
    <t>This instrument</t>
  </si>
  <si>
    <t>Every person completes &gt;=1 deal / partnership without Dennis</t>
  </si>
  <si>
    <t>All</t>
  </si>
  <si>
    <t>In progress across the team</t>
  </si>
  <si>
    <t>No pipeline item stalled &gt;14 days without a named action</t>
  </si>
  <si>
    <t>All (Joan tracks)</t>
  </si>
  <si>
    <t>Ongoing</t>
  </si>
  <si>
    <t>Cockpit catching &amp; actioning stalls</t>
  </si>
  <si>
    <t>Series A data room live</t>
  </si>
  <si>
    <t>Ongoing, materially populated; 'live' definition set for 31 Jul</t>
  </si>
  <si>
    <t>Define 'live' for 31 Jul: structured + populated, in-flight registrations flagged pending</t>
  </si>
  <si>
    <t>Corporate compliance — KIPI · ESCO EPRA visit · policies manual</t>
  </si>
  <si>
    <t>Withholding tax filed (W8); induction cookstoves collected from KIRDI; EPRA ESCO and KIPI T2 unchanged this week; restated FY26 financials received 20 Aug</t>
  </si>
  <si>
    <t>ESCO w/o 30 Jun</t>
  </si>
  <si>
    <t>Tectona data-collection partnership signed</t>
  </si>
  <si>
    <t>15 Jul</t>
  </si>
  <si>
    <t>SLA signed; kickoff Tue</t>
  </si>
  <si>
    <t>Elizabeth owns end to end. W8: forms corrected to Tectona Group Limited; Mui County MoU delayed; enumerator manual circulated 20 Aug</t>
  </si>
  <si>
    <t>Jikoni internal OS — CRM + ERP modules live</t>
  </si>
  <si>
    <t>LIVE in production (confirmed W6)</t>
  </si>
  <si>
    <t>Platform go/no-go · docs uploadable · CRM fix live</t>
  </si>
  <si>
    <t>4 Jul</t>
  </si>
  <si>
    <t>CRM fixed; docs uploaded; platform stable</t>
  </si>
  <si>
    <t>IoT telemetry live on all new Q3 units</t>
  </si>
  <si>
    <t>LinkedIn AI content agent live</t>
  </si>
  <si>
    <t>LinkedIn bot stabilised / live</t>
  </si>
  <si>
    <t>MILESTONES — JULY CRITICAL PATH + PARTNER TARGETS</t>
  </si>
  <si>
    <t>Anchors: 7 Jul (Prisons) · 9 Jul (CCIQ launch + FSD signing) · 26 Sep (Q3 close)</t>
  </si>
  <si>
    <t>Date</t>
  </si>
  <si>
    <t>Milestone</t>
  </si>
  <si>
    <t>Status</t>
  </si>
  <si>
    <t>30 Jun</t>
  </si>
  <si>
    <t>Tax filing · Tectona call · CRM fix live</t>
  </si>
  <si>
    <t>Joan / Brian</t>
  </si>
  <si>
    <t>CRM live; TECTONA call held; tax filed</t>
  </si>
  <si>
    <t>1 Jul</t>
  </si>
  <si>
    <t>Q3 roadmap shared · Uganda update from Wilson</t>
  </si>
  <si>
    <t>Q3 roadmap shared</t>
  </si>
  <si>
    <t>2 Jul</t>
  </si>
  <si>
    <t>All CCIQ registration documents live &amp; tested</t>
  </si>
  <si>
    <t>CCIQ registration docs uploaded (walkthrough pending)</t>
  </si>
  <si>
    <t>FSD terms finalised · RF concept note revised · CCIQ go/no-go signed off</t>
  </si>
  <si>
    <t>At Risk</t>
  </si>
  <si>
    <t>FSD terms not finalised (→ 30 Jul session); launch event postponed</t>
  </si>
  <si>
    <t>6 Jul</t>
  </si>
  <si>
    <t>Prisons deck complete &amp; rehearsed · GEAPP budget proposal ready</t>
  </si>
  <si>
    <t>Prisons deck done &amp; rehearsed; GEAPP budget work done</t>
  </si>
  <si>
    <t>7 Jul</t>
  </si>
  <si>
    <t>ANCHOR: Prisons technology presentation — steam cooking via Kitchenerra (08:00)</t>
  </si>
  <si>
    <t>Presented 7 Jul; now in TCO rework</t>
  </si>
  <si>
    <t>8 Jul</t>
  </si>
  <si>
    <t>Makueni County TWG in person · GEAPP follow-up meeting</t>
  </si>
  <si>
    <t>On Track</t>
  </si>
  <si>
    <t>Makueni MOU pathway agreed; GEAPP progressing</t>
  </si>
  <si>
    <t>ANCHOR: CleanCookIQ launch + FSD Africa partnership signing (virtual)</t>
  </si>
  <si>
    <t>FSD 30 Jul session held — strong progress; methodology doc + diagnostic next</t>
  </si>
  <si>
    <t>11 Jul</t>
  </si>
  <si>
    <t>KCB-Rockefeller-Ignis call · DMRV comparison table complete</t>
  </si>
  <si>
    <t>KCB &amp; RF meetings held; DMRV research ongoing</t>
  </si>
  <si>
    <t>ESCO EPRA visit (compliance) — restart of item that was due w/o 30 Jun</t>
  </si>
  <si>
    <t>EPRA application started; business permit obtained; closing next week</t>
  </si>
  <si>
    <t>TBC</t>
  </si>
  <si>
    <t>CCIQ platform + Jikoni demo — walk through uploaded CESA agreements &amp; documents</t>
  </si>
  <si>
    <t>Jikoni demo held Fri (fully running Wed); CCIQ platform walkthrough still to schedule</t>
  </si>
  <si>
    <t>Prisons terms confirmed · SEforALL RFP filed · Tectona signed · Data room live · GEAPP proposal submitted</t>
  </si>
  <si>
    <t>Wilson / Joan</t>
  </si>
  <si>
    <t>TECTONA signed (kickoff Tue); IRENA countersigned; FSD session held; Prisons still in TCO rework</t>
  </si>
  <si>
    <t>25 Aug</t>
  </si>
  <si>
    <t>CESA finalisation working session — settle the Annex A tariff adjustment cap, then sign off</t>
  </si>
  <si>
    <t>Last open item on the 14 page Core Agreement</t>
  </si>
  <si>
    <t>26 Aug</t>
  </si>
  <si>
    <t>ANCHOR: IRENA/Taita Voi convening — one integrated full day, afternoon Financing Forum with KCB, Equity, Qwetu SACCO, Caritas MF, Co op Bank</t>
  </si>
  <si>
    <t>Restructured 21 Aug; draft concept note circulated to the consortium</t>
  </si>
  <si>
    <t>RF+CIFF MOU · Caritas MOU · DMRV provider contracted · Uganda entity registered</t>
  </si>
  <si>
    <t>RF/Caritas advancing; DMRV AT RISK, 4R Digital platform decision deferred pending hardware; Uganda entity not registered</t>
  </si>
  <si>
    <t>3 Sep</t>
  </si>
  <si>
    <t>Zambia/CES joint call — PUE investment, IoT monitoring and verification, market based Lusaka pilots</t>
  </si>
  <si>
    <t>Dennis / Wilson</t>
  </si>
  <si>
    <t>Three priority areas agreed with Nitin Akhade (CES)</t>
  </si>
  <si>
    <t>26 Sep</t>
  </si>
  <si>
    <t>Q3 CLOSE — score north stars honestly, set Q4 · $100K floor · household pilot structure defined</t>
  </si>
  <si>
    <t>DECISION LOG</t>
  </si>
  <si>
    <t>Every red item leaves the meeting here — named owner + next action. Accumulates all quarter.</t>
  </si>
  <si>
    <t>#</t>
  </si>
  <si>
    <t>Week</t>
  </si>
  <si>
    <t>Red item / issue</t>
  </si>
  <si>
    <t>Decision / next action</t>
  </si>
  <si>
    <t>Due</t>
  </si>
  <si>
    <t>Date closed</t>
  </si>
  <si>
    <t>RF concept note due-date conflict (Partnerships: 31 Aug MOU, but concept-note 4 Jul vs 31 Jul)</t>
  </si>
  <si>
    <t>Agree single date; update Scorecard + Milestones</t>
  </si>
  <si>
    <t>Open</t>
  </si>
  <si>
    <t>GEAPP CDMU proposal due-date conflict (31 Jul vs 31 Aug)</t>
  </si>
  <si>
    <t>CDMU alignment map submitted (W2) — date conflict moot</t>
  </si>
  <si>
    <t>Closed</t>
  </si>
  <si>
    <t>DMRV provider not yet selected (feeds Programmes: household + institutional)</t>
  </si>
  <si>
    <t>Superseded — DMRV advancing (4RDigital carbon + LPG V1); tracked in R7</t>
  </si>
  <si>
    <t>UNDP &amp; Sierra Leone revenue amounts still TBD</t>
  </si>
  <si>
    <t>Confirm $ figures; update Revenue tracker</t>
  </si>
  <si>
    <t>Elizabeth / Dennis</t>
  </si>
  <si>
    <t>Prisons ($70–100k anchor) — RESOLVED: not dead, RESUMED as procurement advocacy</t>
  </si>
  <si>
    <t>Wilson pivoted to a Treasury advocacy letter (12 Aug) challenging the procurement to force technology-neutral competitive process + baseline data. Near-term revenue timing now uncertain, but strategically stronger.</t>
  </si>
  <si>
    <t>Joan → Wilson/Dennis</t>
  </si>
  <si>
    <t>before next mtg</t>
  </si>
  <si>
    <t>TECTONA data collection stalled &gt;14 days — blocked on Dennis</t>
  </si>
  <si>
    <t>RESOLVED: TECTONA SLA signed by Elizabeth (W3). Data collection can proceed.</t>
  </si>
  <si>
    <t>before 15 Jul</t>
  </si>
  <si>
    <t>TECTONA ownership unclear — on Joan's Scorecard line, but Elizabeth is driving it</t>
  </si>
  <si>
    <t>RESOLVED: Elizabeth owns TECTONA end-to-end; Joan tracks. Budget sign-off is now Elizabeth's ask of Dennis. (Reconcile 15 Jul vs 31 Jul date.)</t>
  </si>
  <si>
    <t>first cockpit</t>
  </si>
  <si>
    <t>CCIQ launch status UNCONFIRMED on launch day (9 Jul) — no readiness/launch update from tech or PMO</t>
  </si>
  <si>
    <t>Resolved — launch tied to an external event that was postponed; R4 de-escalated</t>
  </si>
  <si>
    <t>Dennis / Brian</t>
  </si>
  <si>
    <t>today</t>
  </si>
  <si>
    <t>Prisons ($70–100k anchor) UNREPORTED by Dennis, Elizabeth AND Wilson (owner) in W6 — status unknown after a month as top revenue concern</t>
  </si>
  <si>
    <t>Duplicate of the active Prisons flag — consolidated</t>
  </si>
  <si>
    <t>Dennis reports verbally in the meeting (leads it), not via async five lines</t>
  </si>
  <si>
    <t>RESOLVED: Joan captures Dennis's meeting update into his cockpit row each week — no separate five-line report required.</t>
  </si>
  <si>
    <t>Joan / Dennis</t>
  </si>
  <si>
    <t>CCIQ launch status still unconfirmed 3 weeks after launch date (9 Jul)</t>
  </si>
  <si>
    <t>Resolved — launch event postponed (duplicate)</t>
  </si>
  <si>
    <t>this week</t>
  </si>
  <si>
    <t>'Data room live by 31 Jul' undefined — some contents (EPRA ESCO, KIPI trademark) depend on external timelines</t>
  </si>
  <si>
    <t>Define 'live' as: structured, permissioned and populated with all existing docs; in-flight registrations flagged as pending</t>
  </si>
  <si>
    <t>CCIQ Terms &amp; Conditions and Privacy Policy drafted — need team review before publish</t>
  </si>
  <si>
    <t>Team to review CCIQ T&amp;Cs + Privacy Policy — raised again W5, still outstanding</t>
  </si>
  <si>
    <t>All (Joan owns)</t>
  </si>
  <si>
    <t>next week</t>
  </si>
  <si>
    <t>Sierra Leone/AfriGas stalled &gt;14 days — awaiting Dennis feedback/direction</t>
  </si>
  <si>
    <t>Sierra Leone now active — plan agreed, First Lady convening Nov; AfriGas folded into programme</t>
  </si>
  <si>
    <t>CCIQ platform walkthrough of uploaded CESA docs still to schedule</t>
  </si>
  <si>
    <t>Jikoni demo HELD Fri (fully running Wed EOD). Remaining: schedule the CCIQ platform walkthrough of uploaded documents.</t>
  </si>
  <si>
    <t>July company expenses reconciled — burn/runway now known</t>
  </si>
  <si>
    <t>Inputs now complete: Financial Model v1 plus the restated FY26 financials (P&amp;L, Balance Sheet, Cash Flow, Equity, Notes) received 20 Aug. Next step is a single headline burn or runway figure on the home tab.</t>
  </si>
  <si>
    <t>before next cockpit</t>
  </si>
  <si>
    <t>Equity MOU awaiting Dennis final feedback before external sharing (Makueni workplan now approved &amp; shared)</t>
  </si>
  <si>
    <t>Dennis clears Equity MOU + TECTONA package this week so Elizabeth can share &amp; prep enumerator training. TECTONA consent/data-protection docs already reworked &amp; returned by Dennis.</t>
  </si>
  <si>
    <t>18</t>
  </si>
  <si>
    <t>FSD MoU signature UNCONFIRMED. Signing was targeted 17 to 18 Aug; neither reporter could confirm it happened.</t>
  </si>
  <si>
    <t>Dennis to confirm signed or not signed, and if not, the new date. This single fact sets the Partnerships RAG and closes or reopens R9.</t>
  </si>
  <si>
    <t>Dennis (Joan chases)</t>
  </si>
  <si>
    <t>19</t>
  </si>
  <si>
    <t>CESA: one open item left, the Annex A tariff adjustment cap, blocking sign off of the 14 page Core Agreement.</t>
  </si>
  <si>
    <t>Finalisation working session 25 Aug to settle the cap figure, then move to sign off.</t>
  </si>
  <si>
    <t>20</t>
  </si>
  <si>
    <t>Reporting collapsed to 2 of 5. Dennis, Elizabeth and Brian did not report for w/c 17 Aug, none excused.</t>
  </si>
  <si>
    <t>Reset the expectation directly with each of the three before the next cockpit. Elizabeth is now two weeks without a report (W7 excused, W8 not).</t>
  </si>
  <si>
    <t>STRATEGIC RISK REGISTER — Q3 2026</t>
  </si>
  <si>
    <t>Forward-looking executive risks · what could stop a north star before it becomes a red · reviewed weekly by Joan</t>
  </si>
  <si>
    <t>SEVERITY auto-rates from Likelihood × Impact (3×3 matrix):  H×H = Critical · H×M = High · M×M / H×L = Medium · rest = Low.   The Decision Log handles reds after they surface; this looks ahead.</t>
  </si>
  <si>
    <t>Risk ID</t>
  </si>
  <si>
    <t>Risk / description</t>
  </si>
  <si>
    <t>Likelihood</t>
  </si>
  <si>
    <t>Impact</t>
  </si>
  <si>
    <t>Severity</t>
  </si>
  <si>
    <t>Mitigation / next action</t>
  </si>
  <si>
    <t>Last reviewed</t>
  </si>
  <si>
    <t>R1</t>
  </si>
  <si>
    <t>Capital raise / Series A slips or is mis-sized for stage; funders move slowly</t>
  </si>
  <si>
    <t>Medium</t>
  </si>
  <si>
    <t>High</t>
  </si>
  <si>
    <t>Sequence concessional / anchor funder first; keep named conversations warm with a next step each</t>
  </si>
  <si>
    <t>Monitoring</t>
  </si>
  <si>
    <t>R2</t>
  </si>
  <si>
    <t>Revenue conversion: $11K signed of the $100K floor at wk 8/13, no new close in W8. Floor unreachable on current pace; Prisons is advocacy-paced, Rockefeller ($150k) unconverted.</t>
  </si>
  <si>
    <t>State burn/runway from the restated FY26 financials, then take the floor decision with Dennis — flex it or name the deal that closes it.</t>
  </si>
  <si>
    <t>R3</t>
  </si>
  <si>
    <t>Prisons: RESUMED as procurement advocacy (not dead). Strategically stronger (technology-neutral reframe) but near-term revenue timing now uncertain — depends on procurement reform then bid.</t>
  </si>
  <si>
    <t>Prepare detailed follow-up pack; put a lower-CAPEX LPG option in front of the Secretariat before they decide</t>
  </si>
  <si>
    <t>R4</t>
  </si>
  <si>
    <t>CCIQ launch timing depends on an external event that was POSTPONED — launch moved with it (not a failure or reporting gap). Platform work ongoing; documents being uploaded/reviewed.</t>
  </si>
  <si>
    <t>Low</t>
  </si>
  <si>
    <t>Set a new launch date once the event reschedules; keep platform readiness current</t>
  </si>
  <si>
    <t>R5</t>
  </si>
  <si>
    <t>Unresolved partner date conflicts (RF concept note, GEAPP proposal) risk missed submission windows</t>
  </si>
  <si>
    <t>Elizabeth / Joan</t>
  </si>
  <si>
    <t>Settle both dates at the week-1 cockpit (logged in Decision Log)</t>
  </si>
  <si>
    <t>R6</t>
  </si>
  <si>
    <t>Concentration through Dennis (MD) + reporting discipline. REGRESSED W8: 3 of 5 did not report, including the MD; the FSD answer sits with him alone. Elizabeth 2 weeks out.</t>
  </si>
  <si>
    <t>Reset the five-line expectation with each non-reporter before the next cockpit; keep decision rights delegated.</t>
  </si>
  <si>
    <t>R7</t>
  </si>
  <si>
    <t>DMRV not contracted and the 31 Aug target is at risk: 4RDigital platform decision DEFERRED (18 Aug) pending hardware manufacturing. GSM remote control outstanding.</t>
  </si>
  <si>
    <t>Re-date the DMRV target, or name a provider path that does not wait on hardware.</t>
  </si>
  <si>
    <t>R8</t>
  </si>
  <si>
    <t>UNDP and Sierra Leone revenue amounts unquantified — weakens the forecast against the floor</t>
  </si>
  <si>
    <t>Confirm figures (logged in Decision Log); update the Revenue tracker</t>
  </si>
  <si>
    <t>R9</t>
  </si>
  <si>
    <t>FSD MoU: signature targeted 17–18 Aug, NOT confirmed. Tracked-changes version with FSD (Robert Akunga) since 15 Aug. Unconfirmed is not failed, but the date passed in silence.</t>
  </si>
  <si>
    <t>Yes or no from Dennis before the next cockpit; if unsigned, secure a dated commitment from FSD.</t>
  </si>
  <si>
    <t>R10</t>
  </si>
  <si>
    <t>Tectona data collection: Mui County MoU still delayed, fieldwork rerouted to other counties. Risk to county coverage and the CCIQ baseline. 5 coordinates flagged.</t>
  </si>
  <si>
    <t>Confirm KOBO uploaded + tested before ToT; verify the 5 coordinates; set a decision date on Mui.</t>
  </si>
  <si>
    <t>R11</t>
  </si>
  <si>
    <t>R12</t>
  </si>
  <si>
    <t>R13</t>
  </si>
  <si>
    <t>R14</t>
  </si>
  <si>
    <t>FY26 FINANCIAL REVIEW — Dennis handed over the audited FY26 financials for Solar Freeze; returned a 2-page memo + reconciliation note. Fully restated KES financials followed 20 Aug (P&amp;L, BS, Cash Flow, Equity Movement, Notes). CESA: confirmed 20 Aug the structure meets the page limit → booked the 25 Aug finalisation session. ELMECC interview (Practical Action, Industrial Area) — coordinated + attended with Wilson; Withholding tax filed for staff. Induction cookstoves collected from KIRDI.</t>
  </si>
  <si>
    <t>CESA DELIVERED — 27→14pp Core Agreement + 3 schedules (18 Aug); closed offline dMRV billing rule, data-export citation, AssetCo-insolvency protection, confidentiality. One item open: Annex A tariff cap → session 25 Aug. IRENA sub-agreement cleared by Dennis (16 Aug) → ready to action with Gamos. IRENA/Taita (21 Aug check-in): Voi convening 26 Aug now ONE integrated full day; afternoon reframed to financing pathways + FIs (KCB, Equity, Qwetu SACCO, Caritas MF, Co-op Bank); draft Financing Forum concept note circulated. Zambia/CES: Dennis + Nitin Akhade agreed 3 priorities (PUE investment, IoT monitoring/verification, market-based Lusaka pilots); call 3 Sep. 4RDigital: platform decision DEFERRED pending hardware (GSM remote control still needed). Tectona/CCIQ (18 Aug): 5 coordinates flagged, forms corrected to Tectona Group Limited, fieldwork advances while Makueni MoU delayed. Mercy Corps HQ749: no movement, awaiting RFP. NO NEW REVENUE; no stalls; no win.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</si>
</sst>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
    <numFmt numFmtId="165" formatCode="yyyy\-mm\-dd"/>
  </numFmts>
  <fonts count="32" x14ac:knownFonts="1">
    <font>
      <sz val="11"/>
      <color theme="1"/>
      <name val="Calibri"/>
      <family val="2"/>
      <charset val="1"/>
    </font>
    <font>
      <b/>
      <sz val="15"/>
      <color rgb="FFFFFFFF"/>
      <name val="Arial"/>
      <charset val="1"/>
    </font>
    <font>
      <sz val="10"/>
      <color rgb="FFFFFFFF"/>
      <name val="Arial"/>
      <charset val="1"/>
    </font>
    <font>
      <b/>
      <sz val="11"/>
      <color rgb="FFFFFFFF"/>
      <name val="Arial"/>
      <charset val="1"/>
    </font>
    <font>
      <b/>
      <sz val="10"/>
      <color rgb="FF5B2C6F"/>
      <name val="Arial"/>
      <charset val="1"/>
    </font>
    <font>
      <sz val="10"/>
      <color rgb="FF000000"/>
      <name val="Arial"/>
      <charset val="1"/>
    </font>
    <font>
      <b/>
      <sz val="10"/>
      <color rgb="FF1B4F72"/>
      <name val="Arial"/>
      <charset val="1"/>
    </font>
    <font>
      <b/>
      <sz val="10"/>
      <color rgb="FF145A32"/>
      <name val="Arial"/>
      <charset val="1"/>
    </font>
    <font>
      <b/>
      <sz val="10"/>
      <color rgb="FF7E5109"/>
      <name val="Arial"/>
      <charset val="1"/>
    </font>
    <font>
      <b/>
      <sz val="10"/>
      <color rgb="FF0F5132"/>
      <name val="Arial"/>
      <charset val="1"/>
    </font>
    <font>
      <b/>
      <sz val="10"/>
      <color rgb="FFFFFFFF"/>
      <name val="Arial"/>
      <charset val="1"/>
    </font>
    <font>
      <sz val="9"/>
      <color rgb="FF000000"/>
      <name val="Arial"/>
      <charset val="1"/>
    </font>
    <font>
      <b/>
      <sz val="10"/>
      <color rgb="FF006100"/>
      <name val="Arial"/>
      <charset val="1"/>
    </font>
    <font>
      <b/>
      <sz val="10"/>
      <color rgb="FF9C6500"/>
      <name val="Arial"/>
      <charset val="1"/>
    </font>
    <font>
      <b/>
      <sz val="10"/>
      <color rgb="FF9C0006"/>
      <name val="Arial"/>
      <charset val="1"/>
    </font>
    <font>
      <b/>
      <sz val="10"/>
      <color rgb="FF1F4E79"/>
      <name val="Arial"/>
      <charset val="1"/>
    </font>
    <font>
      <b/>
      <sz val="10"/>
      <color rgb="FF595959"/>
      <name val="Arial"/>
      <charset val="1"/>
    </font>
    <font>
      <b/>
      <sz val="11"/>
      <color rgb="FF5B2C6F"/>
      <name val="Arial"/>
      <charset val="1"/>
    </font>
    <font>
      <b/>
      <sz val="11"/>
      <color rgb="FF1B4F72"/>
      <name val="Arial"/>
      <charset val="1"/>
    </font>
    <font>
      <b/>
      <sz val="11"/>
      <color rgb="FF145A32"/>
      <name val="Arial"/>
      <charset val="1"/>
    </font>
    <font>
      <b/>
      <sz val="11"/>
      <color rgb="FF7E5109"/>
      <name val="Arial"/>
      <charset val="1"/>
    </font>
    <font>
      <i/>
      <sz val="9"/>
      <color rgb="FF7F7F7F"/>
      <name val="Arial"/>
      <charset val="1"/>
    </font>
    <font>
      <b/>
      <sz val="9"/>
      <color rgb="FFFFFFFF"/>
      <name val="Arial"/>
      <charset val="1"/>
    </font>
    <font>
      <b/>
      <sz val="9"/>
      <color rgb="FF5B2C6F"/>
      <name val="Arial"/>
      <charset val="1"/>
    </font>
    <font>
      <b/>
      <sz val="8"/>
      <color rgb="FF000000"/>
      <name val="Arial"/>
      <charset val="1"/>
    </font>
    <font>
      <b/>
      <sz val="9"/>
      <color rgb="FF1B4F72"/>
      <name val="Arial"/>
      <charset val="1"/>
    </font>
    <font>
      <b/>
      <sz val="9"/>
      <color rgb="FF145A32"/>
      <name val="Arial"/>
      <charset val="1"/>
    </font>
    <font>
      <b/>
      <sz val="9"/>
      <color rgb="FF7E5109"/>
      <name val="Arial"/>
      <charset val="1"/>
    </font>
    <font>
      <b/>
      <sz val="9"/>
      <color rgb="FF000000"/>
      <name val="Arial"/>
      <charset val="1"/>
    </font>
    <font>
      <b/>
      <sz val="9"/>
      <color rgb="FF9C0006"/>
      <name val="Arial"/>
      <charset val="1"/>
    </font>
    <font>
      <b/>
      <sz val="10"/>
      <color rgb="FF000000"/>
      <name val="Arial"/>
      <charset val="1"/>
    </font>
    <font>
      <b/>
      <sz val="9"/>
      <color rgb="FF0F5132"/>
      <name val="Arial"/>
      <charset val="1"/>
    </font>
  </fonts>
  <fills count="20">
    <fill>
      <patternFill patternType="none"/>
    </fill>
    <fill>
      <patternFill patternType="gray125"/>
    </fill>
    <fill>
      <patternFill patternType="solid">
        <fgColor rgb="FF00B050"/>
        <bgColor rgb="FF008080"/>
      </patternFill>
    </fill>
    <fill>
      <patternFill patternType="solid">
        <fgColor rgb="FFE67E22"/>
        <bgColor rgb="FFFF9900"/>
      </patternFill>
    </fill>
    <fill>
      <patternFill patternType="solid">
        <fgColor rgb="FF117A65"/>
        <bgColor rgb="FF008080"/>
      </patternFill>
    </fill>
    <fill>
      <patternFill patternType="solid">
        <fgColor rgb="FFE8DAEF"/>
        <bgColor rgb="FFE7E6E6"/>
      </patternFill>
    </fill>
    <fill>
      <patternFill patternType="solid">
        <fgColor rgb="FFD6EAF8"/>
        <bgColor rgb="FFD9E1F2"/>
      </patternFill>
    </fill>
    <fill>
      <patternFill patternType="solid">
        <fgColor rgb="FFD5F5E3"/>
        <bgColor rgb="FFD6EAF8"/>
      </patternFill>
    </fill>
    <fill>
      <patternFill patternType="solid">
        <fgColor rgb="FFFDEBD0"/>
        <bgColor rgb="FFFFF2CC"/>
      </patternFill>
    </fill>
    <fill>
      <patternFill patternType="solid">
        <fgColor rgb="FFF4F7F5"/>
        <bgColor rgb="FFF2F2F2"/>
      </patternFill>
    </fill>
    <fill>
      <patternFill patternType="solid">
        <fgColor rgb="FFFFFFFF"/>
        <bgColor rgb="FFFFFDE7"/>
      </patternFill>
    </fill>
    <fill>
      <patternFill patternType="solid">
        <fgColor rgb="FF0F5132"/>
        <bgColor rgb="FF145A32"/>
      </patternFill>
    </fill>
    <fill>
      <patternFill patternType="solid">
        <fgColor rgb="FFC6EFCE"/>
        <bgColor rgb="FFD5F5E3"/>
      </patternFill>
    </fill>
    <fill>
      <patternFill patternType="solid">
        <fgColor rgb="FFFFEB9C"/>
        <bgColor rgb="FFFFF2CC"/>
      </patternFill>
    </fill>
    <fill>
      <patternFill patternType="solid">
        <fgColor rgb="FFFFC7CE"/>
        <bgColor rgb="FFE8DAEF"/>
      </patternFill>
    </fill>
    <fill>
      <patternFill patternType="solid">
        <fgColor rgb="FFD9E1F2"/>
        <bgColor rgb="FFD6EAF8"/>
      </patternFill>
    </fill>
    <fill>
      <patternFill patternType="solid">
        <fgColor rgb="FFF2F2F2"/>
        <bgColor rgb="FFF4F7F5"/>
      </patternFill>
    </fill>
    <fill>
      <patternFill patternType="solid">
        <fgColor rgb="FFFFFDE7"/>
        <bgColor rgb="FFFFFFFF"/>
      </patternFill>
    </fill>
    <fill>
      <patternFill patternType="solid">
        <fgColor rgb="FFFFF2CC"/>
        <bgColor rgb="FFFDEBD0"/>
      </patternFill>
    </fill>
    <fill>
      <patternFill patternType="solid">
        <fgColor rgb="FFEAF3EE"/>
        <bgColor rgb="FFF2F2F2"/>
      </patternFill>
    </fill>
  </fills>
  <borders count="3">
    <border>
      <left/>
      <right/>
      <top/>
      <bottom/>
      <diagonal/>
    </border>
    <border>
      <left style="thin">
        <color rgb="FFD9D9D9"/>
      </left>
      <right style="thin">
        <color rgb="FFD9D9D9"/>
      </right>
      <top style="thin">
        <color rgb="FFD9D9D9"/>
      </top>
      <bottom style="thin">
        <color rgb="FFD9D9D9"/>
      </bottom>
      <diagonal/>
    </border>
    <border>
      <left style="thin">
        <color rgb="FFD9D9D9"/>
      </left>
      <right/>
      <top style="thin">
        <color rgb="FFD9D9D9"/>
      </top>
      <bottom style="thin">
        <color rgb="FFD9D9D9"/>
      </bottom>
      <diagonal/>
    </border>
  </borders>
  <cellStyleXfs count="1">
    <xf numFmtId="0" fontId="0" fillId="0" borderId="0"/>
  </cellStyleXfs>
  <cellXfs count="88">
    <xf numFmtId="0" fontId="0" fillId="0" borderId="0" xfId="0"/>
    <xf numFmtId="0" fontId="19" fillId="7" borderId="1" xfId="0" applyFont="1" applyFill="1" applyBorder="1" applyAlignment="1">
      <alignment horizontal="left" vertical="center"/>
    </xf>
    <xf numFmtId="0" fontId="18" fillId="6" borderId="1" xfId="0" applyFont="1" applyFill="1" applyBorder="1" applyAlignment="1">
      <alignment horizontal="left" vertical="center"/>
    </xf>
    <xf numFmtId="0" fontId="0" fillId="0" borderId="1" xfId="0" applyFont="1" applyBorder="1" applyAlignment="1">
      <alignment horizontal="left" vertical="center" wrapText="1"/>
    </xf>
    <xf numFmtId="0" fontId="17" fillId="5" borderId="1" xfId="0" applyFont="1" applyFill="1" applyBorder="1" applyAlignment="1">
      <alignment horizontal="left" vertical="center"/>
    </xf>
    <xf numFmtId="0" fontId="5" fillId="0" borderId="2" xfId="0" applyFont="1" applyBorder="1" applyAlignment="1">
      <alignment horizontal="left" vertical="center" wrapText="1"/>
    </xf>
    <xf numFmtId="0" fontId="10" fillId="3" borderId="2" xfId="0" applyFont="1" applyFill="1" applyBorder="1" applyAlignment="1">
      <alignment horizontal="center" vertical="center" wrapText="1"/>
    </xf>
    <xf numFmtId="0" fontId="11" fillId="0" borderId="2" xfId="0" applyFont="1" applyBorder="1" applyAlignment="1">
      <alignment horizontal="left" vertical="center" wrapText="1"/>
    </xf>
    <xf numFmtId="0" fontId="10" fillId="11" borderId="2" xfId="0" applyFont="1" applyFill="1" applyBorder="1" applyAlignment="1">
      <alignment horizontal="center" vertical="center" wrapText="1"/>
    </xf>
    <xf numFmtId="0" fontId="5" fillId="9" borderId="2" xfId="0" applyFont="1" applyFill="1" applyBorder="1" applyAlignment="1">
      <alignment horizontal="left" vertical="center" wrapText="1"/>
    </xf>
    <xf numFmtId="0" fontId="5" fillId="10" borderId="2" xfId="0" applyFont="1" applyFill="1" applyBorder="1" applyAlignment="1">
      <alignment horizontal="left" vertical="center" wrapText="1"/>
    </xf>
    <xf numFmtId="0" fontId="5" fillId="0" borderId="1" xfId="0" applyFont="1" applyBorder="1" applyAlignment="1">
      <alignment horizontal="left" vertical="center" wrapText="1"/>
    </xf>
    <xf numFmtId="0" fontId="3" fillId="4" borderId="0" xfId="0" applyFont="1" applyFill="1" applyBorder="1" applyAlignment="1">
      <alignment horizontal="left" vertical="center"/>
    </xf>
    <xf numFmtId="0" fontId="2" fillId="3" borderId="0" xfId="0" applyFont="1" applyFill="1" applyBorder="1" applyAlignment="1">
      <alignment horizontal="left" vertical="center"/>
    </xf>
    <xf numFmtId="0" fontId="1" fillId="2" borderId="0" xfId="0" applyFont="1" applyFill="1" applyBorder="1" applyAlignment="1">
      <alignment horizontal="left" vertical="center"/>
    </xf>
    <xf numFmtId="0" fontId="0" fillId="0" borderId="0" xfId="0" applyAlignment="1"/>
    <xf numFmtId="0" fontId="4" fillId="5" borderId="1" xfId="0" applyFont="1" applyFill="1" applyBorder="1" applyAlignment="1">
      <alignment horizontal="center" vertical="center" wrapText="1"/>
    </xf>
    <xf numFmtId="0" fontId="6" fillId="6" borderId="1" xfId="0" applyFont="1" applyFill="1" applyBorder="1" applyAlignment="1">
      <alignment horizontal="center" vertical="center" wrapText="1"/>
    </xf>
    <xf numFmtId="0" fontId="7" fillId="7" borderId="1" xfId="0" applyFont="1" applyFill="1" applyBorder="1" applyAlignment="1">
      <alignment horizontal="center" vertical="center" wrapText="1"/>
    </xf>
    <xf numFmtId="0" fontId="8" fillId="8" borderId="1" xfId="0" applyFont="1" applyFill="1" applyBorder="1" applyAlignment="1">
      <alignment horizontal="center" vertical="center" wrapText="1"/>
    </xf>
    <xf numFmtId="0" fontId="9" fillId="9" borderId="1" xfId="0" applyFont="1" applyFill="1" applyBorder="1" applyAlignment="1">
      <alignment horizontal="left" vertical="center" wrapText="1"/>
    </xf>
    <xf numFmtId="0" fontId="12" fillId="12" borderId="1" xfId="0" applyFont="1" applyFill="1" applyBorder="1" applyAlignment="1">
      <alignment horizontal="center" vertical="center" wrapText="1"/>
    </xf>
    <xf numFmtId="0" fontId="0" fillId="0" borderId="1" xfId="0" applyBorder="1" applyAlignment="1"/>
    <xf numFmtId="0" fontId="13" fillId="13" borderId="1" xfId="0" applyFont="1" applyFill="1" applyBorder="1" applyAlignment="1">
      <alignment horizontal="center" vertical="center" wrapText="1"/>
    </xf>
    <xf numFmtId="0" fontId="14" fillId="14" borderId="1" xfId="0" applyFont="1" applyFill="1" applyBorder="1" applyAlignment="1">
      <alignment horizontal="center" vertical="center" wrapText="1"/>
    </xf>
    <xf numFmtId="0" fontId="15" fillId="15" borderId="1" xfId="0" applyFont="1" applyFill="1" applyBorder="1" applyAlignment="1">
      <alignment horizontal="center" vertical="center" wrapText="1"/>
    </xf>
    <xf numFmtId="0" fontId="16" fillId="16" borderId="1" xfId="0" applyFont="1" applyFill="1" applyBorder="1" applyAlignment="1">
      <alignment horizontal="center" vertical="center" wrapText="1"/>
    </xf>
    <xf numFmtId="0" fontId="10" fillId="11" borderId="1" xfId="0" applyFont="1" applyFill="1" applyBorder="1" applyAlignment="1">
      <alignment horizontal="center" vertical="center" wrapText="1"/>
    </xf>
    <xf numFmtId="0" fontId="0" fillId="0" borderId="1" xfId="0" applyFont="1" applyBorder="1" applyAlignment="1">
      <alignment horizontal="center" vertical="center" wrapText="1"/>
    </xf>
    <xf numFmtId="0" fontId="5" fillId="9" borderId="1" xfId="0" applyFont="1" applyFill="1" applyBorder="1" applyAlignment="1">
      <alignment horizontal="left" vertical="center" wrapText="1"/>
    </xf>
    <xf numFmtId="0" fontId="5" fillId="9" borderId="1" xfId="0" applyFont="1" applyFill="1" applyBorder="1" applyAlignment="1">
      <alignment horizontal="center" vertical="center" wrapText="1"/>
    </xf>
    <xf numFmtId="0" fontId="5" fillId="10" borderId="1" xfId="0" applyFont="1" applyFill="1" applyBorder="1" applyAlignment="1">
      <alignment horizontal="left" vertical="center" wrapText="1"/>
    </xf>
    <xf numFmtId="0" fontId="5" fillId="10" borderId="1" xfId="0" applyFont="1" applyFill="1" applyBorder="1" applyAlignment="1">
      <alignment horizontal="center" vertical="center" wrapText="1"/>
    </xf>
    <xf numFmtId="0" fontId="3" fillId="4" borderId="0" xfId="0" applyFont="1" applyFill="1" applyAlignment="1">
      <alignment horizontal="left" vertical="center"/>
    </xf>
    <xf numFmtId="0" fontId="22" fillId="11" borderId="1" xfId="0" applyFont="1" applyFill="1" applyBorder="1" applyAlignment="1">
      <alignment horizontal="center" vertical="center" wrapText="1"/>
    </xf>
    <xf numFmtId="0" fontId="23" fillId="5" borderId="1" xfId="0" applyFont="1" applyFill="1" applyBorder="1" applyAlignment="1">
      <alignment horizontal="left" vertical="center" wrapText="1"/>
    </xf>
    <xf numFmtId="0" fontId="24" fillId="0" borderId="1" xfId="0" applyFont="1" applyBorder="1" applyAlignment="1">
      <alignment horizontal="center" vertical="center"/>
    </xf>
    <xf numFmtId="0" fontId="25" fillId="6" borderId="1" xfId="0" applyFont="1" applyFill="1" applyBorder="1" applyAlignment="1">
      <alignment horizontal="left" vertical="center" wrapText="1"/>
    </xf>
    <xf numFmtId="0" fontId="26" fillId="7" borderId="1" xfId="0" applyFont="1" applyFill="1" applyBorder="1" applyAlignment="1">
      <alignment horizontal="left" vertical="center" wrapText="1"/>
    </xf>
    <xf numFmtId="0" fontId="27" fillId="8" borderId="1" xfId="0" applyFont="1" applyFill="1" applyBorder="1" applyAlignment="1">
      <alignment horizontal="left" vertical="center" wrapText="1"/>
    </xf>
    <xf numFmtId="0" fontId="28" fillId="10" borderId="1" xfId="0" applyFont="1" applyFill="1" applyBorder="1" applyAlignment="1">
      <alignment horizontal="left" vertical="center" wrapText="1"/>
    </xf>
    <xf numFmtId="0" fontId="24" fillId="10" borderId="1" xfId="0" applyFont="1" applyFill="1" applyBorder="1" applyAlignment="1">
      <alignment horizontal="center" vertical="center"/>
    </xf>
    <xf numFmtId="0" fontId="28" fillId="9" borderId="1" xfId="0" applyFont="1" applyFill="1" applyBorder="1" applyAlignment="1">
      <alignment horizontal="left" vertical="center" wrapText="1"/>
    </xf>
    <xf numFmtId="0" fontId="24" fillId="9" borderId="1" xfId="0" applyFont="1" applyFill="1" applyBorder="1" applyAlignment="1">
      <alignment horizontal="center" vertical="center"/>
    </xf>
    <xf numFmtId="0" fontId="22" fillId="4" borderId="1" xfId="0" applyFont="1" applyFill="1" applyBorder="1" applyAlignment="1">
      <alignment horizontal="center" vertical="center" wrapText="1"/>
    </xf>
    <xf numFmtId="0" fontId="0" fillId="0" borderId="1" xfId="0" applyBorder="1" applyAlignment="1">
      <alignment horizontal="center" vertical="center" wrapText="1"/>
    </xf>
    <xf numFmtId="0" fontId="28" fillId="10" borderId="1" xfId="0" applyFont="1" applyFill="1" applyBorder="1" applyAlignment="1">
      <alignment horizontal="center" vertical="center" wrapText="1"/>
    </xf>
    <xf numFmtId="0" fontId="11" fillId="10" borderId="1" xfId="0" applyFont="1" applyFill="1" applyBorder="1" applyAlignment="1">
      <alignment horizontal="left" vertical="center" wrapText="1"/>
    </xf>
    <xf numFmtId="0" fontId="11" fillId="10" borderId="1" xfId="0" applyFont="1" applyFill="1" applyBorder="1" applyAlignment="1">
      <alignment horizontal="center" vertical="center" wrapText="1"/>
    </xf>
    <xf numFmtId="0" fontId="28" fillId="9" borderId="1" xfId="0" applyFont="1" applyFill="1" applyBorder="1" applyAlignment="1">
      <alignment horizontal="center" vertical="center" wrapText="1"/>
    </xf>
    <xf numFmtId="0" fontId="11" fillId="9" borderId="1" xfId="0" applyFont="1" applyFill="1" applyBorder="1" applyAlignment="1">
      <alignment horizontal="left" vertical="center" wrapText="1"/>
    </xf>
    <xf numFmtId="0" fontId="11" fillId="9" borderId="1" xfId="0" applyFont="1" applyFill="1" applyBorder="1" applyAlignment="1">
      <alignment horizontal="center" vertical="center" wrapText="1"/>
    </xf>
    <xf numFmtId="0" fontId="29" fillId="9" borderId="1" xfId="0" applyFont="1" applyFill="1" applyBorder="1" applyAlignment="1">
      <alignment horizontal="left" vertical="center" wrapText="1"/>
    </xf>
    <xf numFmtId="0" fontId="29" fillId="10" borderId="1" xfId="0" applyFont="1" applyFill="1" applyBorder="1" applyAlignment="1">
      <alignment horizontal="left" vertical="center" wrapText="1"/>
    </xf>
    <xf numFmtId="0" fontId="30" fillId="9" borderId="1" xfId="0" applyFont="1" applyFill="1" applyBorder="1" applyAlignment="1">
      <alignment horizontal="center" vertical="center" wrapText="1"/>
    </xf>
    <xf numFmtId="0" fontId="0" fillId="9" borderId="1" xfId="0" applyFont="1" applyFill="1" applyBorder="1" applyAlignment="1">
      <alignment horizontal="center" vertical="center" wrapText="1"/>
    </xf>
    <xf numFmtId="0" fontId="0" fillId="9" borderId="1" xfId="0" applyFont="1" applyFill="1" applyBorder="1" applyAlignment="1">
      <alignment horizontal="left" vertical="center" wrapText="1"/>
    </xf>
    <xf numFmtId="0" fontId="30" fillId="10" borderId="1" xfId="0" applyFont="1" applyFill="1" applyBorder="1" applyAlignment="1">
      <alignment horizontal="center" vertical="center" wrapText="1"/>
    </xf>
    <xf numFmtId="0" fontId="0" fillId="10" borderId="1" xfId="0" applyFont="1" applyFill="1" applyBorder="1" applyAlignment="1">
      <alignment horizontal="center" vertical="center" wrapText="1"/>
    </xf>
    <xf numFmtId="0" fontId="0" fillId="10" borderId="1" xfId="0" applyFont="1" applyFill="1" applyBorder="1" applyAlignment="1">
      <alignment horizontal="left" vertical="center" wrapText="1"/>
    </xf>
    <xf numFmtId="0" fontId="14" fillId="18" borderId="1" xfId="0" applyFont="1" applyFill="1" applyBorder="1" applyAlignment="1">
      <alignment horizontal="center" vertical="center" wrapText="1"/>
    </xf>
    <xf numFmtId="0" fontId="30" fillId="18" borderId="1" xfId="0" applyFont="1" applyFill="1" applyBorder="1" applyAlignment="1">
      <alignment horizontal="left" vertical="center" wrapText="1"/>
    </xf>
    <xf numFmtId="0" fontId="5" fillId="18" borderId="1" xfId="0" applyFont="1" applyFill="1" applyBorder="1" applyAlignment="1">
      <alignment horizontal="center" vertical="center" wrapText="1"/>
    </xf>
    <xf numFmtId="0" fontId="0" fillId="18" borderId="1" xfId="0" applyFont="1" applyFill="1" applyBorder="1" applyAlignment="1">
      <alignment horizontal="center" vertical="center" wrapText="1"/>
    </xf>
    <xf numFmtId="0" fontId="0" fillId="18" borderId="1" xfId="0" applyFont="1" applyFill="1" applyBorder="1" applyAlignment="1">
      <alignment horizontal="left" vertical="center" wrapText="1"/>
    </xf>
    <xf numFmtId="165" fontId="11" fillId="9" borderId="1" xfId="0" applyNumberFormat="1" applyFont="1" applyFill="1" applyBorder="1" applyAlignment="1">
      <alignment horizontal="center" vertical="center" wrapText="1"/>
    </xf>
    <xf numFmtId="165" fontId="11" fillId="10" borderId="1" xfId="0" applyNumberFormat="1" applyFont="1" applyFill="1" applyBorder="1" applyAlignment="1">
      <alignment horizontal="center" vertical="center" wrapText="1"/>
    </xf>
    <xf numFmtId="0" fontId="20" fillId="8" borderId="1" xfId="0" applyFont="1" applyFill="1" applyBorder="1" applyAlignment="1">
      <alignment horizontal="left" vertical="center"/>
    </xf>
    <xf numFmtId="0" fontId="5" fillId="9" borderId="1" xfId="0" applyFont="1" applyFill="1" applyBorder="1" applyAlignment="1">
      <alignment horizontal="left" vertical="center" wrapText="1"/>
    </xf>
    <xf numFmtId="164" fontId="5" fillId="9" borderId="1" xfId="0" applyNumberFormat="1" applyFont="1" applyFill="1" applyBorder="1" applyAlignment="1">
      <alignment horizontal="center" vertical="center" wrapText="1"/>
    </xf>
    <xf numFmtId="164" fontId="15" fillId="17" borderId="1" xfId="0" applyNumberFormat="1" applyFont="1" applyFill="1" applyBorder="1" applyAlignment="1">
      <alignment horizontal="center" vertical="center" wrapText="1"/>
    </xf>
    <xf numFmtId="0" fontId="5" fillId="9" borderId="1" xfId="0" applyFont="1" applyFill="1" applyBorder="1" applyAlignment="1">
      <alignment horizontal="center" vertical="center" wrapText="1"/>
    </xf>
    <xf numFmtId="0" fontId="21" fillId="9" borderId="1" xfId="0" applyFont="1" applyFill="1" applyBorder="1" applyAlignment="1">
      <alignment horizontal="left" vertical="center" wrapText="1"/>
    </xf>
    <xf numFmtId="0" fontId="5" fillId="10" borderId="1" xfId="0" applyFont="1" applyFill="1" applyBorder="1" applyAlignment="1">
      <alignment horizontal="left" vertical="center" wrapText="1"/>
    </xf>
    <xf numFmtId="164" fontId="5" fillId="10" borderId="1" xfId="0" applyNumberFormat="1" applyFont="1" applyFill="1" applyBorder="1" applyAlignment="1">
      <alignment horizontal="center" vertical="center" wrapText="1"/>
    </xf>
    <xf numFmtId="0" fontId="5" fillId="10" borderId="1" xfId="0" applyFont="1" applyFill="1" applyBorder="1" applyAlignment="1">
      <alignment horizontal="center" vertical="center" wrapText="1"/>
    </xf>
    <xf numFmtId="0" fontId="21" fillId="10" borderId="1" xfId="0" applyFont="1" applyFill="1" applyBorder="1" applyAlignment="1">
      <alignment horizontal="left" vertical="center" wrapText="1"/>
    </xf>
    <xf numFmtId="0" fontId="0" fillId="0" borderId="0" xfId="0" applyFont="1" applyBorder="1" applyAlignment="1"/>
    <xf numFmtId="0" fontId="0" fillId="0" borderId="0" xfId="0" applyBorder="1" applyAlignment="1"/>
    <xf numFmtId="0" fontId="10" fillId="4" borderId="1" xfId="0" applyFont="1" applyFill="1" applyBorder="1" applyAlignment="1">
      <alignment horizontal="left" vertical="center"/>
    </xf>
    <xf numFmtId="164" fontId="3" fillId="4" borderId="1" xfId="0" applyNumberFormat="1" applyFont="1" applyFill="1" applyBorder="1" applyAlignment="1">
      <alignment horizontal="center" vertical="center" wrapText="1"/>
    </xf>
    <xf numFmtId="0" fontId="10" fillId="4" borderId="1" xfId="0" applyFont="1" applyFill="1" applyBorder="1" applyAlignment="1">
      <alignment horizontal="center" vertical="center" wrapText="1"/>
    </xf>
    <xf numFmtId="0" fontId="3" fillId="11" borderId="0" xfId="0" applyFont="1" applyFill="1" applyBorder="1" applyAlignment="1">
      <alignment horizontal="left" vertical="center"/>
    </xf>
    <xf numFmtId="0" fontId="22" fillId="4" borderId="1" xfId="0" applyFont="1" applyFill="1" applyBorder="1" applyAlignment="1">
      <alignment horizontal="center" vertical="center" wrapText="1"/>
    </xf>
    <xf numFmtId="0" fontId="0" fillId="0" borderId="1" xfId="0" applyBorder="1" applyAlignment="1">
      <alignment horizontal="left" vertical="center" wrapText="1"/>
    </xf>
    <xf numFmtId="0" fontId="11" fillId="0" borderId="1" xfId="0" applyFont="1" applyBorder="1" applyAlignment="1">
      <alignment horizontal="center" vertical="center" wrapText="1"/>
    </xf>
    <xf numFmtId="0" fontId="29" fillId="18" borderId="2" xfId="0" applyFont="1" applyFill="1" applyBorder="1" applyAlignment="1">
      <alignment horizontal="left" vertical="center" wrapText="1"/>
    </xf>
    <xf numFmtId="0" fontId="31" fillId="19" borderId="0" xfId="0" applyFont="1" applyFill="1" applyBorder="1" applyAlignment="1">
      <alignment horizontal="left" vertical="center"/>
    </xf>
  </cellXfs>
  <cellStyles count="1">
    <cellStyle name="Normal" xfId="0" builtinId="0"/>
  </cellStyles>
  <dxfs count="227">
    <dxf>
      <font>
        <b/>
        <sz val="9"/>
        <color rgb="FF006100"/>
        <name val="Arial"/>
      </font>
      <fill>
        <patternFill>
          <bgColor rgb="FFC6EFCE"/>
        </patternFill>
      </fill>
    </dxf>
    <dxf>
      <font>
        <b/>
        <sz val="9"/>
        <color rgb="FF1F4E79"/>
        <name val="Arial"/>
      </font>
      <fill>
        <patternFill>
          <bgColor rgb="FFD9E1F2"/>
        </patternFill>
      </fill>
    </dxf>
    <dxf>
      <font>
        <b/>
        <sz val="9"/>
        <color rgb="FF9C6500"/>
        <name val="Arial"/>
      </font>
      <fill>
        <patternFill>
          <bgColor rgb="FFFFEB9C"/>
        </patternFill>
      </fill>
    </dxf>
    <dxf>
      <font>
        <b/>
        <sz val="9"/>
        <color rgb="FF006100"/>
        <name val="Arial"/>
      </font>
      <fill>
        <patternFill>
          <bgColor rgb="FFC6EFCE"/>
        </patternFill>
      </fill>
    </dxf>
    <dxf>
      <font>
        <b/>
        <sz val="9"/>
        <color rgb="FF9C6500"/>
        <name val="Arial"/>
      </font>
      <fill>
        <patternFill>
          <bgColor rgb="FFFFEB9C"/>
        </patternFill>
      </fill>
    </dxf>
    <dxf>
      <font>
        <b/>
        <sz val="9"/>
        <color rgb="FF9C0006"/>
        <name val="Arial"/>
      </font>
      <fill>
        <patternFill>
          <bgColor rgb="FFFFC7CE"/>
        </patternFill>
      </fill>
    </dxf>
    <dxf>
      <font>
        <b/>
        <sz val="9"/>
        <color rgb="FF006100"/>
        <name val="Arial"/>
      </font>
      <fill>
        <patternFill>
          <bgColor rgb="FFC6EFCE"/>
        </patternFill>
      </fill>
    </dxf>
    <dxf>
      <font>
        <b/>
        <sz val="9"/>
        <color rgb="FF9C6500"/>
        <name val="Arial"/>
      </font>
      <fill>
        <patternFill>
          <bgColor rgb="FFFFEB9C"/>
        </patternFill>
      </fill>
    </dxf>
    <dxf>
      <font>
        <b/>
        <sz val="9"/>
        <color rgb="FF9C0006"/>
        <name val="Arial"/>
      </font>
      <fill>
        <patternFill>
          <bgColor rgb="FFFFC7CE"/>
        </patternFill>
      </fill>
    </dxf>
    <dxf>
      <font>
        <b/>
        <sz val="9"/>
        <color rgb="FF7E5109"/>
        <name val="Arial"/>
      </font>
      <fill>
        <patternFill>
          <bgColor rgb="FFFDEBD0"/>
        </patternFill>
      </fill>
    </dxf>
    <dxf>
      <font>
        <b/>
        <sz val="9"/>
        <color rgb="FF145A32"/>
        <name val="Arial"/>
      </font>
      <fill>
        <patternFill>
          <bgColor rgb="FFD5F5E3"/>
        </patternFill>
      </fill>
    </dxf>
    <dxf>
      <font>
        <b/>
        <sz val="9"/>
        <color rgb="FF1B4F72"/>
        <name val="Arial"/>
      </font>
      <fill>
        <patternFill>
          <bgColor rgb="FFD6EAF8"/>
        </patternFill>
      </fill>
    </dxf>
    <dxf>
      <font>
        <b/>
        <sz val="9"/>
        <color rgb="FF5B2C6F"/>
        <name val="Arial"/>
      </font>
      <fill>
        <patternFill>
          <bgColor rgb="FFE8DAEF"/>
        </patternFill>
      </fill>
    </dxf>
    <dxf>
      <font>
        <b/>
        <sz val="9"/>
        <color rgb="FF006100"/>
        <name val="Arial"/>
      </font>
      <fill>
        <patternFill>
          <bgColor rgb="FFC6EFCE"/>
        </patternFill>
      </fill>
    </dxf>
    <dxf>
      <font>
        <b/>
        <sz val="9"/>
        <color rgb="FF9C6500"/>
        <name val="Arial"/>
      </font>
      <fill>
        <patternFill>
          <bgColor rgb="FFFFEB9C"/>
        </patternFill>
      </fill>
    </dxf>
    <dxf>
      <font>
        <b/>
        <sz val="9"/>
        <color rgb="FFC65911"/>
        <name val="Arial"/>
      </font>
      <fill>
        <patternFill>
          <bgColor rgb="FFFCE4D6"/>
        </patternFill>
      </fill>
    </dxf>
    <dxf>
      <font>
        <b/>
        <sz val="9"/>
        <color rgb="FF9C0006"/>
        <name val="Arial"/>
      </font>
      <fill>
        <patternFill>
          <bgColor rgb="FFFFC7CE"/>
        </patternFill>
      </fill>
    </dxf>
    <dxf>
      <font>
        <b/>
        <sz val="10"/>
        <color rgb="FF006100"/>
        <name val="Arial"/>
      </font>
      <fill>
        <patternFill>
          <bgColor rgb="FFC6EFCE"/>
        </patternFill>
      </fill>
    </dxf>
    <dxf>
      <font>
        <b/>
        <sz val="10"/>
        <color rgb="FF9C6500"/>
        <name val="Arial"/>
      </font>
      <fill>
        <patternFill>
          <bgColor rgb="FFFFEB9C"/>
        </patternFill>
      </fill>
    </dxf>
    <dxf>
      <font>
        <b/>
        <sz val="10"/>
        <color rgb="FF9C0006"/>
        <name val="Arial"/>
      </font>
      <fill>
        <patternFill>
          <bgColor rgb="FFFFC7CE"/>
        </patternFill>
      </fill>
    </dxf>
    <dxf>
      <font>
        <b/>
        <sz val="10"/>
        <color rgb="FF595959"/>
        <name val="Arial"/>
      </font>
      <fill>
        <patternFill>
          <bgColor rgb="FFE7E6E6"/>
        </patternFill>
      </fill>
    </dxf>
    <dxf>
      <font>
        <b/>
        <sz val="10"/>
        <color rgb="FF9C0006"/>
        <name val="Arial"/>
      </font>
      <fill>
        <patternFill>
          <bgColor rgb="FFFFC7CE"/>
        </patternFill>
      </fill>
    </dxf>
    <dxf>
      <font>
        <b/>
        <sz val="10"/>
        <color rgb="FF9C6500"/>
        <name val="Arial"/>
      </font>
      <fill>
        <patternFill>
          <bgColor rgb="FFFFEB9C"/>
        </patternFill>
      </fill>
    </dxf>
    <dxf>
      <font>
        <b/>
        <sz val="10"/>
        <color rgb="FF006100"/>
        <name val="Arial"/>
      </font>
      <fill>
        <patternFill>
          <bgColor rgb="FFC6EFCE"/>
        </patternFill>
      </fill>
    </dxf>
    <dxf>
      <font>
        <b/>
        <sz val="10"/>
        <color rgb="FF006100"/>
        <name val="Arial"/>
      </font>
      <fill>
        <patternFill>
          <bgColor rgb="FFC6EFCE"/>
        </patternFill>
      </fill>
    </dxf>
    <dxf>
      <font>
        <b/>
        <sz val="10"/>
        <color rgb="FF595959"/>
        <name val="Arial"/>
      </font>
      <fill>
        <patternFill>
          <bgColor rgb="FFF2F2F2"/>
        </patternFill>
      </fill>
    </dxf>
    <dxf>
      <font>
        <b/>
        <sz val="10"/>
        <color rgb="FF1F4E79"/>
        <name val="Arial"/>
      </font>
      <fill>
        <patternFill>
          <bgColor rgb="FFD9E1F2"/>
        </patternFill>
      </fill>
    </dxf>
    <dxf>
      <font>
        <b/>
        <sz val="10"/>
        <color rgb="FF9C0006"/>
        <name val="Arial"/>
      </font>
      <fill>
        <patternFill>
          <bgColor rgb="FFFFC7CE"/>
        </patternFill>
      </fill>
    </dxf>
    <dxf>
      <font>
        <b/>
        <sz val="10"/>
        <color rgb="FF9C6500"/>
        <name val="Arial"/>
      </font>
      <fill>
        <patternFill>
          <bgColor rgb="FFFFEB9C"/>
        </patternFill>
      </fill>
    </dxf>
    <dxf>
      <font>
        <b/>
        <sz val="10"/>
        <color rgb="FF006100"/>
        <name val="Arial"/>
      </font>
      <fill>
        <patternFill>
          <bgColor rgb="FFC6EFCE"/>
        </patternFill>
      </fill>
    </dxf>
    <dxf>
      <font>
        <b/>
        <sz val="9"/>
        <color rgb="FF595959"/>
        <name val="Arial"/>
      </font>
      <fill>
        <patternFill>
          <bgColor rgb="FFF2F2F2"/>
        </patternFill>
      </fill>
    </dxf>
    <dxf>
      <font>
        <b/>
        <sz val="9"/>
        <color rgb="FF1F4E79"/>
        <name val="Arial"/>
      </font>
      <fill>
        <patternFill>
          <bgColor rgb="FFD9E1F2"/>
        </patternFill>
      </fill>
    </dxf>
    <dxf>
      <font>
        <b/>
        <sz val="9"/>
        <color rgb="FF9C0006"/>
        <name val="Arial"/>
      </font>
      <fill>
        <patternFill>
          <bgColor rgb="FFFFC7CE"/>
        </patternFill>
      </fill>
    </dxf>
    <dxf>
      <font>
        <b/>
        <sz val="9"/>
        <color rgb="FF9C6500"/>
        <name val="Arial"/>
      </font>
      <fill>
        <patternFill>
          <bgColor rgb="FFFFEB9C"/>
        </patternFill>
      </fill>
    </dxf>
    <dxf>
      <font>
        <b/>
        <sz val="9"/>
        <color rgb="FF006100"/>
        <name val="Arial"/>
      </font>
      <fill>
        <patternFill>
          <bgColor rgb="FFC6EFCE"/>
        </patternFill>
      </fill>
    </dxf>
    <dxf>
      <font>
        <b/>
        <sz val="9"/>
        <color rgb="FF7E5109"/>
        <name val="Arial"/>
      </font>
      <fill>
        <patternFill>
          <bgColor rgb="FFFDEBD0"/>
        </patternFill>
      </fill>
    </dxf>
    <dxf>
      <font>
        <b/>
        <sz val="9"/>
        <color rgb="FF145A32"/>
        <name val="Arial"/>
      </font>
      <fill>
        <patternFill>
          <bgColor rgb="FFD5F5E3"/>
        </patternFill>
      </fill>
    </dxf>
    <dxf>
      <font>
        <b/>
        <sz val="9"/>
        <color rgb="FF1B4F72"/>
        <name val="Arial"/>
      </font>
      <fill>
        <patternFill>
          <bgColor rgb="FFD6EAF8"/>
        </patternFill>
      </fill>
    </dxf>
    <dxf>
      <font>
        <b/>
        <sz val="9"/>
        <color rgb="FF5B2C6F"/>
        <name val="Arial"/>
      </font>
      <fill>
        <patternFill>
          <bgColor rgb="FFE8DAEF"/>
        </patternFill>
      </fill>
    </dxf>
    <dxf>
      <font>
        <b/>
        <sz val="9"/>
        <color rgb="FF595959"/>
        <name val="Arial"/>
      </font>
      <fill>
        <patternFill>
          <bgColor rgb="FFF2F2F2"/>
        </patternFill>
      </fill>
    </dxf>
    <dxf>
      <font>
        <b/>
        <sz val="9"/>
        <color rgb="FF1F4E79"/>
        <name val="Arial"/>
      </font>
      <fill>
        <patternFill>
          <bgColor rgb="FFD9E1F2"/>
        </patternFill>
      </fill>
    </dxf>
    <dxf>
      <font>
        <b/>
        <sz val="9"/>
        <color rgb="FF9C0006"/>
        <name val="Arial"/>
      </font>
      <fill>
        <patternFill>
          <bgColor rgb="FFFFC7CE"/>
        </patternFill>
      </fill>
    </dxf>
    <dxf>
      <font>
        <b/>
        <sz val="9"/>
        <color rgb="FF9C6500"/>
        <name val="Arial"/>
      </font>
      <fill>
        <patternFill>
          <bgColor rgb="FFFFEB9C"/>
        </patternFill>
      </fill>
    </dxf>
    <dxf>
      <font>
        <b/>
        <sz val="9"/>
        <color rgb="FF006100"/>
        <name val="Arial"/>
      </font>
      <fill>
        <patternFill>
          <bgColor rgb="FFC6EFCE"/>
        </patternFill>
      </fill>
    </dxf>
    <dxf>
      <font>
        <b/>
        <sz val="9"/>
        <color rgb="FF595959"/>
        <name val="Arial"/>
      </font>
      <fill>
        <patternFill>
          <bgColor rgb="FFF2F2F2"/>
        </patternFill>
      </fill>
    </dxf>
    <dxf>
      <font>
        <b/>
        <sz val="9"/>
        <color rgb="FF1F4E79"/>
        <name val="Arial"/>
      </font>
      <fill>
        <patternFill>
          <bgColor rgb="FFD9E1F2"/>
        </patternFill>
      </fill>
    </dxf>
    <dxf>
      <font>
        <b/>
        <sz val="9"/>
        <color rgb="FF9C0006"/>
        <name val="Arial"/>
      </font>
      <fill>
        <patternFill>
          <bgColor rgb="FFFFC7CE"/>
        </patternFill>
      </fill>
    </dxf>
    <dxf>
      <font>
        <b/>
        <sz val="9"/>
        <color rgb="FF9C6500"/>
        <name val="Arial"/>
      </font>
      <fill>
        <patternFill>
          <bgColor rgb="FFFFEB9C"/>
        </patternFill>
      </fill>
    </dxf>
    <dxf>
      <font>
        <b/>
        <sz val="9"/>
        <color rgb="FF006100"/>
        <name val="Arial"/>
      </font>
      <fill>
        <patternFill>
          <bgColor rgb="FFC6EFCE"/>
        </patternFill>
      </fill>
    </dxf>
    <dxf>
      <font>
        <b/>
        <sz val="9"/>
        <color rgb="FF7E5109"/>
        <name val="Arial"/>
      </font>
      <fill>
        <patternFill>
          <bgColor rgb="FFFDEBD0"/>
        </patternFill>
      </fill>
    </dxf>
    <dxf>
      <font>
        <b/>
        <sz val="9"/>
        <color rgb="FF145A32"/>
        <name val="Arial"/>
      </font>
      <fill>
        <patternFill>
          <bgColor rgb="FFD5F5E3"/>
        </patternFill>
      </fill>
    </dxf>
    <dxf>
      <font>
        <b/>
        <sz val="9"/>
        <color rgb="FF1B4F72"/>
        <name val="Arial"/>
      </font>
      <fill>
        <patternFill>
          <bgColor rgb="FFD6EAF8"/>
        </patternFill>
      </fill>
    </dxf>
    <dxf>
      <font>
        <b/>
        <sz val="9"/>
        <color rgb="FF5B2C6F"/>
        <name val="Arial"/>
      </font>
      <fill>
        <patternFill>
          <bgColor rgb="FFE8DAEF"/>
        </patternFill>
      </fill>
    </dxf>
    <dxf>
      <font>
        <b/>
        <sz val="9"/>
        <color rgb="FF595959"/>
        <name val="Arial"/>
      </font>
      <fill>
        <patternFill>
          <bgColor rgb="FFF2F2F2"/>
        </patternFill>
      </fill>
    </dxf>
    <dxf>
      <font>
        <b/>
        <sz val="9"/>
        <color rgb="FF1F4E79"/>
        <name val="Arial"/>
      </font>
      <fill>
        <patternFill>
          <bgColor rgb="FFD9E1F2"/>
        </patternFill>
      </fill>
    </dxf>
    <dxf>
      <font>
        <b/>
        <sz val="9"/>
        <color rgb="FF9C0006"/>
        <name val="Arial"/>
      </font>
      <fill>
        <patternFill>
          <bgColor rgb="FFFFC7CE"/>
        </patternFill>
      </fill>
    </dxf>
    <dxf>
      <font>
        <b/>
        <sz val="9"/>
        <color rgb="FF9C6500"/>
        <name val="Arial"/>
      </font>
      <fill>
        <patternFill>
          <bgColor rgb="FFFFEB9C"/>
        </patternFill>
      </fill>
    </dxf>
    <dxf>
      <font>
        <b/>
        <sz val="9"/>
        <color rgb="FF006100"/>
        <name val="Arial"/>
      </font>
      <fill>
        <patternFill>
          <bgColor rgb="FFC6EFCE"/>
        </patternFill>
      </fill>
    </dxf>
    <dxf>
      <font>
        <b/>
        <sz val="9"/>
        <color rgb="FF595959"/>
        <name val="Arial"/>
      </font>
      <fill>
        <patternFill>
          <bgColor rgb="FFF2F2F2"/>
        </patternFill>
      </fill>
    </dxf>
    <dxf>
      <font>
        <b/>
        <sz val="9"/>
        <color rgb="FF1F4E79"/>
        <name val="Arial"/>
      </font>
      <fill>
        <patternFill>
          <bgColor rgb="FFD9E1F2"/>
        </patternFill>
      </fill>
    </dxf>
    <dxf>
      <font>
        <b/>
        <sz val="9"/>
        <color rgb="FF9C0006"/>
        <name val="Arial"/>
      </font>
      <fill>
        <patternFill>
          <bgColor rgb="FFFFC7CE"/>
        </patternFill>
      </fill>
    </dxf>
    <dxf>
      <font>
        <b/>
        <sz val="9"/>
        <color rgb="FF9C6500"/>
        <name val="Arial"/>
      </font>
      <fill>
        <patternFill>
          <bgColor rgb="FFFFEB9C"/>
        </patternFill>
      </fill>
    </dxf>
    <dxf>
      <font>
        <b/>
        <sz val="9"/>
        <color rgb="FF006100"/>
        <name val="Arial"/>
      </font>
      <fill>
        <patternFill>
          <bgColor rgb="FFC6EFCE"/>
        </patternFill>
      </fill>
    </dxf>
    <dxf>
      <font>
        <b/>
        <sz val="9"/>
        <color rgb="FF7E5109"/>
        <name val="Arial"/>
      </font>
      <fill>
        <patternFill>
          <bgColor rgb="FFFDEBD0"/>
        </patternFill>
      </fill>
    </dxf>
    <dxf>
      <font>
        <b/>
        <sz val="9"/>
        <color rgb="FF145A32"/>
        <name val="Arial"/>
      </font>
      <fill>
        <patternFill>
          <bgColor rgb="FFD5F5E3"/>
        </patternFill>
      </fill>
    </dxf>
    <dxf>
      <font>
        <b/>
        <sz val="9"/>
        <color rgb="FF1B4F72"/>
        <name val="Arial"/>
      </font>
      <fill>
        <patternFill>
          <bgColor rgb="FFD6EAF8"/>
        </patternFill>
      </fill>
    </dxf>
    <dxf>
      <font>
        <b/>
        <sz val="9"/>
        <color rgb="FF5B2C6F"/>
        <name val="Arial"/>
      </font>
      <fill>
        <patternFill>
          <bgColor rgb="FFE8DAEF"/>
        </patternFill>
      </fill>
    </dxf>
    <dxf>
      <font>
        <b/>
        <sz val="9"/>
        <color rgb="FF595959"/>
        <name val="Arial"/>
      </font>
      <fill>
        <patternFill>
          <bgColor rgb="FFF2F2F2"/>
        </patternFill>
      </fill>
    </dxf>
    <dxf>
      <font>
        <b/>
        <sz val="9"/>
        <color rgb="FF1F4E79"/>
        <name val="Arial"/>
      </font>
      <fill>
        <patternFill>
          <bgColor rgb="FFD9E1F2"/>
        </patternFill>
      </fill>
    </dxf>
    <dxf>
      <font>
        <b/>
        <sz val="9"/>
        <color rgb="FF9C0006"/>
        <name val="Arial"/>
      </font>
      <fill>
        <patternFill>
          <bgColor rgb="FFFFC7CE"/>
        </patternFill>
      </fill>
    </dxf>
    <dxf>
      <font>
        <b/>
        <sz val="9"/>
        <color rgb="FF9C6500"/>
        <name val="Arial"/>
      </font>
      <fill>
        <patternFill>
          <bgColor rgb="FFFFEB9C"/>
        </patternFill>
      </fill>
    </dxf>
    <dxf>
      <font>
        <b/>
        <sz val="9"/>
        <color rgb="FF006100"/>
        <name val="Arial"/>
      </font>
      <fill>
        <patternFill>
          <bgColor rgb="FFC6EFCE"/>
        </patternFill>
      </fill>
    </dxf>
    <dxf>
      <font>
        <b/>
        <sz val="9"/>
        <color rgb="FF595959"/>
        <name val="Arial"/>
      </font>
      <fill>
        <patternFill>
          <bgColor rgb="FFF2F2F2"/>
        </patternFill>
      </fill>
    </dxf>
    <dxf>
      <font>
        <b/>
        <sz val="9"/>
        <color rgb="FF1F4E79"/>
        <name val="Arial"/>
      </font>
      <fill>
        <patternFill>
          <bgColor rgb="FFD9E1F2"/>
        </patternFill>
      </fill>
    </dxf>
    <dxf>
      <font>
        <b/>
        <sz val="9"/>
        <color rgb="FF9C0006"/>
        <name val="Arial"/>
      </font>
      <fill>
        <patternFill>
          <bgColor rgb="FFFFC7CE"/>
        </patternFill>
      </fill>
    </dxf>
    <dxf>
      <font>
        <b/>
        <sz val="9"/>
        <color rgb="FF9C6500"/>
        <name val="Arial"/>
      </font>
      <fill>
        <patternFill>
          <bgColor rgb="FFFFEB9C"/>
        </patternFill>
      </fill>
    </dxf>
    <dxf>
      <font>
        <b/>
        <sz val="9"/>
        <color rgb="FF006100"/>
        <name val="Arial"/>
      </font>
      <fill>
        <patternFill>
          <bgColor rgb="FFC6EFCE"/>
        </patternFill>
      </fill>
    </dxf>
    <dxf>
      <font>
        <b/>
        <sz val="9"/>
        <color rgb="FF7E5109"/>
        <name val="Arial"/>
      </font>
      <fill>
        <patternFill>
          <bgColor rgb="FFFDEBD0"/>
        </patternFill>
      </fill>
    </dxf>
    <dxf>
      <font>
        <b/>
        <sz val="9"/>
        <color rgb="FF145A32"/>
        <name val="Arial"/>
      </font>
      <fill>
        <patternFill>
          <bgColor rgb="FFD5F5E3"/>
        </patternFill>
      </fill>
    </dxf>
    <dxf>
      <font>
        <b/>
        <sz val="9"/>
        <color rgb="FF1B4F72"/>
        <name val="Arial"/>
      </font>
      <fill>
        <patternFill>
          <bgColor rgb="FFD6EAF8"/>
        </patternFill>
      </fill>
    </dxf>
    <dxf>
      <font>
        <b/>
        <sz val="9"/>
        <color rgb="FF5B2C6F"/>
        <name val="Arial"/>
      </font>
      <fill>
        <patternFill>
          <bgColor rgb="FFE8DAEF"/>
        </patternFill>
      </fill>
    </dxf>
    <dxf>
      <font>
        <b/>
        <sz val="9"/>
        <color rgb="FF595959"/>
        <name val="Arial"/>
      </font>
      <fill>
        <patternFill>
          <bgColor rgb="FFF2F2F2"/>
        </patternFill>
      </fill>
    </dxf>
    <dxf>
      <font>
        <b/>
        <sz val="9"/>
        <color rgb="FF1F4E79"/>
        <name val="Arial"/>
      </font>
      <fill>
        <patternFill>
          <bgColor rgb="FFD9E1F2"/>
        </patternFill>
      </fill>
    </dxf>
    <dxf>
      <font>
        <b/>
        <sz val="9"/>
        <color rgb="FF9C0006"/>
        <name val="Arial"/>
      </font>
      <fill>
        <patternFill>
          <bgColor rgb="FFFFC7CE"/>
        </patternFill>
      </fill>
    </dxf>
    <dxf>
      <font>
        <b/>
        <sz val="9"/>
        <color rgb="FF9C6500"/>
        <name val="Arial"/>
      </font>
      <fill>
        <patternFill>
          <bgColor rgb="FFFFEB9C"/>
        </patternFill>
      </fill>
    </dxf>
    <dxf>
      <font>
        <b/>
        <sz val="9"/>
        <color rgb="FF006100"/>
        <name val="Arial"/>
      </font>
      <fill>
        <patternFill>
          <bgColor rgb="FFC6EFCE"/>
        </patternFill>
      </fill>
    </dxf>
    <dxf>
      <font>
        <b/>
        <sz val="9"/>
        <color rgb="FF595959"/>
        <name val="Arial"/>
      </font>
      <fill>
        <patternFill>
          <bgColor rgb="FFF2F2F2"/>
        </patternFill>
      </fill>
    </dxf>
    <dxf>
      <font>
        <b/>
        <sz val="9"/>
        <color rgb="FF1F4E79"/>
        <name val="Arial"/>
      </font>
      <fill>
        <patternFill>
          <bgColor rgb="FFD9E1F2"/>
        </patternFill>
      </fill>
    </dxf>
    <dxf>
      <font>
        <b/>
        <sz val="9"/>
        <color rgb="FF9C0006"/>
        <name val="Arial"/>
      </font>
      <fill>
        <patternFill>
          <bgColor rgb="FFFFC7CE"/>
        </patternFill>
      </fill>
    </dxf>
    <dxf>
      <font>
        <b/>
        <sz val="9"/>
        <color rgb="FF9C6500"/>
        <name val="Arial"/>
      </font>
      <fill>
        <patternFill>
          <bgColor rgb="FFFFEB9C"/>
        </patternFill>
      </fill>
    </dxf>
    <dxf>
      <font>
        <b/>
        <sz val="9"/>
        <color rgb="FF006100"/>
        <name val="Arial"/>
      </font>
      <fill>
        <patternFill>
          <bgColor rgb="FFC6EFCE"/>
        </patternFill>
      </fill>
    </dxf>
    <dxf>
      <font>
        <b/>
        <sz val="9"/>
        <color rgb="FF7E5109"/>
        <name val="Arial"/>
      </font>
      <fill>
        <patternFill>
          <bgColor rgb="FFFDEBD0"/>
        </patternFill>
      </fill>
    </dxf>
    <dxf>
      <font>
        <b/>
        <sz val="9"/>
        <color rgb="FF145A32"/>
        <name val="Arial"/>
      </font>
      <fill>
        <patternFill>
          <bgColor rgb="FFD5F5E3"/>
        </patternFill>
      </fill>
    </dxf>
    <dxf>
      <font>
        <b/>
        <sz val="9"/>
        <color rgb="FF1B4F72"/>
        <name val="Arial"/>
      </font>
      <fill>
        <patternFill>
          <bgColor rgb="FFD6EAF8"/>
        </patternFill>
      </fill>
    </dxf>
    <dxf>
      <font>
        <b/>
        <sz val="9"/>
        <color rgb="FF5B2C6F"/>
        <name val="Arial"/>
      </font>
      <fill>
        <patternFill>
          <bgColor rgb="FFE8DAEF"/>
        </patternFill>
      </fill>
    </dxf>
    <dxf>
      <font>
        <b/>
        <sz val="9"/>
        <color rgb="FF595959"/>
        <name val="Arial"/>
      </font>
      <fill>
        <patternFill>
          <bgColor rgb="FFF2F2F2"/>
        </patternFill>
      </fill>
    </dxf>
    <dxf>
      <font>
        <b/>
        <sz val="9"/>
        <color rgb="FF1F4E79"/>
        <name val="Arial"/>
      </font>
      <fill>
        <patternFill>
          <bgColor rgb="FFD9E1F2"/>
        </patternFill>
      </fill>
    </dxf>
    <dxf>
      <font>
        <b/>
        <sz val="9"/>
        <color rgb="FF9C0006"/>
        <name val="Arial"/>
      </font>
      <fill>
        <patternFill>
          <bgColor rgb="FFFFC7CE"/>
        </patternFill>
      </fill>
    </dxf>
    <dxf>
      <font>
        <b/>
        <sz val="9"/>
        <color rgb="FF9C6500"/>
        <name val="Arial"/>
      </font>
      <fill>
        <patternFill>
          <bgColor rgb="FFFFEB9C"/>
        </patternFill>
      </fill>
    </dxf>
    <dxf>
      <font>
        <b/>
        <sz val="9"/>
        <color rgb="FF006100"/>
        <name val="Arial"/>
      </font>
      <fill>
        <patternFill>
          <bgColor rgb="FFC6EFCE"/>
        </patternFill>
      </fill>
    </dxf>
    <dxf>
      <font>
        <b/>
        <sz val="9"/>
        <color rgb="FF595959"/>
        <name val="Arial"/>
      </font>
      <fill>
        <patternFill>
          <bgColor rgb="FFF2F2F2"/>
        </patternFill>
      </fill>
    </dxf>
    <dxf>
      <font>
        <b/>
        <sz val="9"/>
        <color rgb="FF1F4E79"/>
        <name val="Arial"/>
      </font>
      <fill>
        <patternFill>
          <bgColor rgb="FFD9E1F2"/>
        </patternFill>
      </fill>
    </dxf>
    <dxf>
      <font>
        <b/>
        <sz val="9"/>
        <color rgb="FF9C0006"/>
        <name val="Arial"/>
      </font>
      <fill>
        <patternFill>
          <bgColor rgb="FFFFC7CE"/>
        </patternFill>
      </fill>
    </dxf>
    <dxf>
      <font>
        <b/>
        <sz val="9"/>
        <color rgb="FF9C6500"/>
        <name val="Arial"/>
      </font>
      <fill>
        <patternFill>
          <bgColor rgb="FFFFEB9C"/>
        </patternFill>
      </fill>
    </dxf>
    <dxf>
      <font>
        <b/>
        <sz val="9"/>
        <color rgb="FF006100"/>
        <name val="Arial"/>
      </font>
      <fill>
        <patternFill>
          <bgColor rgb="FFC6EFCE"/>
        </patternFill>
      </fill>
    </dxf>
    <dxf>
      <font>
        <b/>
        <sz val="9"/>
        <color rgb="FF7E5109"/>
        <name val="Arial"/>
      </font>
      <fill>
        <patternFill>
          <bgColor rgb="FFFDEBD0"/>
        </patternFill>
      </fill>
    </dxf>
    <dxf>
      <font>
        <b/>
        <sz val="9"/>
        <color rgb="FF145A32"/>
        <name val="Arial"/>
      </font>
      <fill>
        <patternFill>
          <bgColor rgb="FFD5F5E3"/>
        </patternFill>
      </fill>
    </dxf>
    <dxf>
      <font>
        <b/>
        <sz val="9"/>
        <color rgb="FF1B4F72"/>
        <name val="Arial"/>
      </font>
      <fill>
        <patternFill>
          <bgColor rgb="FFD6EAF8"/>
        </patternFill>
      </fill>
    </dxf>
    <dxf>
      <font>
        <b/>
        <sz val="9"/>
        <color rgb="FF5B2C6F"/>
        <name val="Arial"/>
      </font>
      <fill>
        <patternFill>
          <bgColor rgb="FFE8DAEF"/>
        </patternFill>
      </fill>
    </dxf>
    <dxf>
      <font>
        <b/>
        <sz val="9"/>
        <color rgb="FF595959"/>
        <name val="Arial"/>
      </font>
      <fill>
        <patternFill>
          <bgColor rgb="FFF2F2F2"/>
        </patternFill>
      </fill>
    </dxf>
    <dxf>
      <font>
        <b/>
        <sz val="9"/>
        <color rgb="FF1F4E79"/>
        <name val="Arial"/>
      </font>
      <fill>
        <patternFill>
          <bgColor rgb="FFD9E1F2"/>
        </patternFill>
      </fill>
    </dxf>
    <dxf>
      <font>
        <b/>
        <sz val="9"/>
        <color rgb="FF9C0006"/>
        <name val="Arial"/>
      </font>
      <fill>
        <patternFill>
          <bgColor rgb="FFFFC7CE"/>
        </patternFill>
      </fill>
    </dxf>
    <dxf>
      <font>
        <b/>
        <sz val="9"/>
        <color rgb="FF9C6500"/>
        <name val="Arial"/>
      </font>
      <fill>
        <patternFill>
          <bgColor rgb="FFFFEB9C"/>
        </patternFill>
      </fill>
    </dxf>
    <dxf>
      <font>
        <b/>
        <sz val="9"/>
        <color rgb="FF006100"/>
        <name val="Arial"/>
      </font>
      <fill>
        <patternFill>
          <bgColor rgb="FFC6EFCE"/>
        </patternFill>
      </fill>
    </dxf>
    <dxf>
      <font>
        <b/>
        <sz val="9"/>
        <color rgb="FF595959"/>
        <name val="Arial"/>
      </font>
      <fill>
        <patternFill>
          <bgColor rgb="FFF2F2F2"/>
        </patternFill>
      </fill>
    </dxf>
    <dxf>
      <font>
        <b/>
        <sz val="9"/>
        <color rgb="FF1F4E79"/>
        <name val="Arial"/>
      </font>
      <fill>
        <patternFill>
          <bgColor rgb="FFD9E1F2"/>
        </patternFill>
      </fill>
    </dxf>
    <dxf>
      <font>
        <b/>
        <sz val="9"/>
        <color rgb="FF9C0006"/>
        <name val="Arial"/>
      </font>
      <fill>
        <patternFill>
          <bgColor rgb="FFFFC7CE"/>
        </patternFill>
      </fill>
    </dxf>
    <dxf>
      <font>
        <b/>
        <sz val="9"/>
        <color rgb="FF9C6500"/>
        <name val="Arial"/>
      </font>
      <fill>
        <patternFill>
          <bgColor rgb="FFFFEB9C"/>
        </patternFill>
      </fill>
    </dxf>
    <dxf>
      <font>
        <b/>
        <sz val="9"/>
        <color rgb="FF006100"/>
        <name val="Arial"/>
      </font>
      <fill>
        <patternFill>
          <bgColor rgb="FFC6EFCE"/>
        </patternFill>
      </fill>
    </dxf>
    <dxf>
      <font>
        <b/>
        <sz val="9"/>
        <color rgb="FF7E5109"/>
        <name val="Arial"/>
      </font>
      <fill>
        <patternFill>
          <bgColor rgb="FFFDEBD0"/>
        </patternFill>
      </fill>
    </dxf>
    <dxf>
      <font>
        <b/>
        <sz val="9"/>
        <color rgb="FF145A32"/>
        <name val="Arial"/>
      </font>
      <fill>
        <patternFill>
          <bgColor rgb="FFD5F5E3"/>
        </patternFill>
      </fill>
    </dxf>
    <dxf>
      <font>
        <b/>
        <sz val="9"/>
        <color rgb="FF1B4F72"/>
        <name val="Arial"/>
      </font>
      <fill>
        <patternFill>
          <bgColor rgb="FFD6EAF8"/>
        </patternFill>
      </fill>
    </dxf>
    <dxf>
      <font>
        <b/>
        <sz val="9"/>
        <color rgb="FF5B2C6F"/>
        <name val="Arial"/>
      </font>
      <fill>
        <patternFill>
          <bgColor rgb="FFE8DAEF"/>
        </patternFill>
      </fill>
    </dxf>
    <dxf>
      <font>
        <b/>
        <sz val="9"/>
        <color rgb="FF595959"/>
        <name val="Arial"/>
      </font>
      <fill>
        <patternFill>
          <bgColor rgb="FFF2F2F2"/>
        </patternFill>
      </fill>
    </dxf>
    <dxf>
      <font>
        <b/>
        <sz val="9"/>
        <color rgb="FF1F4E79"/>
        <name val="Arial"/>
      </font>
      <fill>
        <patternFill>
          <bgColor rgb="FFD9E1F2"/>
        </patternFill>
      </fill>
    </dxf>
    <dxf>
      <font>
        <b/>
        <sz val="9"/>
        <color rgb="FF9C0006"/>
        <name val="Arial"/>
      </font>
      <fill>
        <patternFill>
          <bgColor rgb="FFFFC7CE"/>
        </patternFill>
      </fill>
    </dxf>
    <dxf>
      <font>
        <b/>
        <sz val="9"/>
        <color rgb="FF9C6500"/>
        <name val="Arial"/>
      </font>
      <fill>
        <patternFill>
          <bgColor rgb="FFFFEB9C"/>
        </patternFill>
      </fill>
    </dxf>
    <dxf>
      <font>
        <b/>
        <sz val="9"/>
        <color rgb="FF006100"/>
        <name val="Arial"/>
      </font>
      <fill>
        <patternFill>
          <bgColor rgb="FFC6EFCE"/>
        </patternFill>
      </fill>
    </dxf>
    <dxf>
      <font>
        <b/>
        <sz val="9"/>
        <color rgb="FF595959"/>
        <name val="Arial"/>
      </font>
      <fill>
        <patternFill>
          <bgColor rgb="FFF2F2F2"/>
        </patternFill>
      </fill>
    </dxf>
    <dxf>
      <font>
        <b/>
        <sz val="9"/>
        <color rgb="FF1F4E79"/>
        <name val="Arial"/>
      </font>
      <fill>
        <patternFill>
          <bgColor rgb="FFD9E1F2"/>
        </patternFill>
      </fill>
    </dxf>
    <dxf>
      <font>
        <b/>
        <sz val="9"/>
        <color rgb="FF9C0006"/>
        <name val="Arial"/>
      </font>
      <fill>
        <patternFill>
          <bgColor rgb="FFFFC7CE"/>
        </patternFill>
      </fill>
    </dxf>
    <dxf>
      <font>
        <b/>
        <sz val="9"/>
        <color rgb="FF9C6500"/>
        <name val="Arial"/>
      </font>
      <fill>
        <patternFill>
          <bgColor rgb="FFFFEB9C"/>
        </patternFill>
      </fill>
    </dxf>
    <dxf>
      <font>
        <b/>
        <sz val="9"/>
        <color rgb="FF006100"/>
        <name val="Arial"/>
      </font>
      <fill>
        <patternFill>
          <bgColor rgb="FFC6EFCE"/>
        </patternFill>
      </fill>
    </dxf>
    <dxf>
      <font>
        <b/>
        <sz val="9"/>
        <color rgb="FF7E5109"/>
        <name val="Arial"/>
      </font>
      <fill>
        <patternFill>
          <bgColor rgb="FFFDEBD0"/>
        </patternFill>
      </fill>
    </dxf>
    <dxf>
      <font>
        <b/>
        <sz val="9"/>
        <color rgb="FF145A32"/>
        <name val="Arial"/>
      </font>
      <fill>
        <patternFill>
          <bgColor rgb="FFD5F5E3"/>
        </patternFill>
      </fill>
    </dxf>
    <dxf>
      <font>
        <b/>
        <sz val="9"/>
        <color rgb="FF1B4F72"/>
        <name val="Arial"/>
      </font>
      <fill>
        <patternFill>
          <bgColor rgb="FFD6EAF8"/>
        </patternFill>
      </fill>
    </dxf>
    <dxf>
      <font>
        <b/>
        <sz val="9"/>
        <color rgb="FF5B2C6F"/>
        <name val="Arial"/>
      </font>
      <fill>
        <patternFill>
          <bgColor rgb="FFE8DAEF"/>
        </patternFill>
      </fill>
    </dxf>
    <dxf>
      <font>
        <b/>
        <sz val="9"/>
        <color rgb="FF595959"/>
        <name val="Arial"/>
      </font>
      <fill>
        <patternFill>
          <bgColor rgb="FFF2F2F2"/>
        </patternFill>
      </fill>
    </dxf>
    <dxf>
      <font>
        <b/>
        <sz val="9"/>
        <color rgb="FF1F4E79"/>
        <name val="Arial"/>
      </font>
      <fill>
        <patternFill>
          <bgColor rgb="FFD9E1F2"/>
        </patternFill>
      </fill>
    </dxf>
    <dxf>
      <font>
        <b/>
        <sz val="9"/>
        <color rgb="FF9C0006"/>
        <name val="Arial"/>
      </font>
      <fill>
        <patternFill>
          <bgColor rgb="FFFFC7CE"/>
        </patternFill>
      </fill>
    </dxf>
    <dxf>
      <font>
        <b/>
        <sz val="9"/>
        <color rgb="FF9C6500"/>
        <name val="Arial"/>
      </font>
      <fill>
        <patternFill>
          <bgColor rgb="FFFFEB9C"/>
        </patternFill>
      </fill>
    </dxf>
    <dxf>
      <font>
        <b/>
        <sz val="9"/>
        <color rgb="FF006100"/>
        <name val="Arial"/>
      </font>
      <fill>
        <patternFill>
          <bgColor rgb="FFC6EFCE"/>
        </patternFill>
      </fill>
    </dxf>
    <dxf>
      <font>
        <b/>
        <sz val="9"/>
        <color rgb="FF595959"/>
        <name val="Arial"/>
      </font>
      <fill>
        <patternFill>
          <bgColor rgb="FFF2F2F2"/>
        </patternFill>
      </fill>
    </dxf>
    <dxf>
      <font>
        <b/>
        <sz val="9"/>
        <color rgb="FF1F4E79"/>
        <name val="Arial"/>
      </font>
      <fill>
        <patternFill>
          <bgColor rgb="FFD9E1F2"/>
        </patternFill>
      </fill>
    </dxf>
    <dxf>
      <font>
        <b/>
        <sz val="9"/>
        <color rgb="FF9C0006"/>
        <name val="Arial"/>
      </font>
      <fill>
        <patternFill>
          <bgColor rgb="FFFFC7CE"/>
        </patternFill>
      </fill>
    </dxf>
    <dxf>
      <font>
        <b/>
        <sz val="9"/>
        <color rgb="FF9C6500"/>
        <name val="Arial"/>
      </font>
      <fill>
        <patternFill>
          <bgColor rgb="FFFFEB9C"/>
        </patternFill>
      </fill>
    </dxf>
    <dxf>
      <font>
        <b/>
        <sz val="9"/>
        <color rgb="FF006100"/>
        <name val="Arial"/>
      </font>
      <fill>
        <patternFill>
          <bgColor rgb="FFC6EFCE"/>
        </patternFill>
      </fill>
    </dxf>
    <dxf>
      <font>
        <b/>
        <sz val="9"/>
        <color rgb="FF7E5109"/>
        <name val="Arial"/>
      </font>
      <fill>
        <patternFill>
          <bgColor rgb="FFFDEBD0"/>
        </patternFill>
      </fill>
    </dxf>
    <dxf>
      <font>
        <b/>
        <sz val="9"/>
        <color rgb="FF145A32"/>
        <name val="Arial"/>
      </font>
      <fill>
        <patternFill>
          <bgColor rgb="FFD5F5E3"/>
        </patternFill>
      </fill>
    </dxf>
    <dxf>
      <font>
        <b/>
        <sz val="9"/>
        <color rgb="FF1B4F72"/>
        <name val="Arial"/>
      </font>
      <fill>
        <patternFill>
          <bgColor rgb="FFD6EAF8"/>
        </patternFill>
      </fill>
    </dxf>
    <dxf>
      <font>
        <b/>
        <sz val="9"/>
        <color rgb="FF5B2C6F"/>
        <name val="Arial"/>
      </font>
      <fill>
        <patternFill>
          <bgColor rgb="FFE8DAEF"/>
        </patternFill>
      </fill>
    </dxf>
    <dxf>
      <font>
        <b/>
        <sz val="9"/>
        <color rgb="FF595959"/>
        <name val="Arial"/>
      </font>
      <fill>
        <patternFill>
          <bgColor rgb="FFF2F2F2"/>
        </patternFill>
      </fill>
    </dxf>
    <dxf>
      <font>
        <b/>
        <sz val="9"/>
        <color rgb="FF1F4E79"/>
        <name val="Arial"/>
      </font>
      <fill>
        <patternFill>
          <bgColor rgb="FFD9E1F2"/>
        </patternFill>
      </fill>
    </dxf>
    <dxf>
      <font>
        <b/>
        <sz val="9"/>
        <color rgb="FF9C0006"/>
        <name val="Arial"/>
      </font>
      <fill>
        <patternFill>
          <bgColor rgb="FFFFC7CE"/>
        </patternFill>
      </fill>
    </dxf>
    <dxf>
      <font>
        <b/>
        <sz val="9"/>
        <color rgb="FF9C6500"/>
        <name val="Arial"/>
      </font>
      <fill>
        <patternFill>
          <bgColor rgb="FFFFEB9C"/>
        </patternFill>
      </fill>
    </dxf>
    <dxf>
      <font>
        <b/>
        <sz val="9"/>
        <color rgb="FF006100"/>
        <name val="Arial"/>
      </font>
      <fill>
        <patternFill>
          <bgColor rgb="FFC6EFCE"/>
        </patternFill>
      </fill>
    </dxf>
    <dxf>
      <font>
        <b/>
        <sz val="9"/>
        <color rgb="FF595959"/>
        <name val="Arial"/>
      </font>
      <fill>
        <patternFill>
          <bgColor rgb="FFF2F2F2"/>
        </patternFill>
      </fill>
    </dxf>
    <dxf>
      <font>
        <b/>
        <sz val="9"/>
        <color rgb="FF1F4E79"/>
        <name val="Arial"/>
      </font>
      <fill>
        <patternFill>
          <bgColor rgb="FFD9E1F2"/>
        </patternFill>
      </fill>
    </dxf>
    <dxf>
      <font>
        <b/>
        <sz val="9"/>
        <color rgb="FF9C0006"/>
        <name val="Arial"/>
      </font>
      <fill>
        <patternFill>
          <bgColor rgb="FFFFC7CE"/>
        </patternFill>
      </fill>
    </dxf>
    <dxf>
      <font>
        <b/>
        <sz val="9"/>
        <color rgb="FF9C6500"/>
        <name val="Arial"/>
      </font>
      <fill>
        <patternFill>
          <bgColor rgb="FFFFEB9C"/>
        </patternFill>
      </fill>
    </dxf>
    <dxf>
      <font>
        <b/>
        <sz val="9"/>
        <color rgb="FF006100"/>
        <name val="Arial"/>
      </font>
      <fill>
        <patternFill>
          <bgColor rgb="FFC6EFCE"/>
        </patternFill>
      </fill>
    </dxf>
    <dxf>
      <font>
        <b/>
        <sz val="9"/>
        <color rgb="FF7E5109"/>
        <name val="Arial"/>
      </font>
      <fill>
        <patternFill>
          <bgColor rgb="FFFDEBD0"/>
        </patternFill>
      </fill>
    </dxf>
    <dxf>
      <font>
        <b/>
        <sz val="9"/>
        <color rgb="FF145A32"/>
        <name val="Arial"/>
      </font>
      <fill>
        <patternFill>
          <bgColor rgb="FFD5F5E3"/>
        </patternFill>
      </fill>
    </dxf>
    <dxf>
      <font>
        <b/>
        <sz val="9"/>
        <color rgb="FF1B4F72"/>
        <name val="Arial"/>
      </font>
      <fill>
        <patternFill>
          <bgColor rgb="FFD6EAF8"/>
        </patternFill>
      </fill>
    </dxf>
    <dxf>
      <font>
        <b/>
        <sz val="9"/>
        <color rgb="FF5B2C6F"/>
        <name val="Arial"/>
      </font>
      <fill>
        <patternFill>
          <bgColor rgb="FFE8DAEF"/>
        </patternFill>
      </fill>
    </dxf>
    <dxf>
      <font>
        <b/>
        <sz val="9"/>
        <color rgb="FF595959"/>
        <name val="Arial"/>
      </font>
      <fill>
        <patternFill>
          <bgColor rgb="FFF2F2F2"/>
        </patternFill>
      </fill>
    </dxf>
    <dxf>
      <font>
        <b/>
        <sz val="9"/>
        <color rgb="FF1F4E79"/>
        <name val="Arial"/>
      </font>
      <fill>
        <patternFill>
          <bgColor rgb="FFD9E1F2"/>
        </patternFill>
      </fill>
    </dxf>
    <dxf>
      <font>
        <b/>
        <sz val="9"/>
        <color rgb="FF9C0006"/>
        <name val="Arial"/>
      </font>
      <fill>
        <patternFill>
          <bgColor rgb="FFFFC7CE"/>
        </patternFill>
      </fill>
    </dxf>
    <dxf>
      <font>
        <b/>
        <sz val="9"/>
        <color rgb="FF9C6500"/>
        <name val="Arial"/>
      </font>
      <fill>
        <patternFill>
          <bgColor rgb="FFFFEB9C"/>
        </patternFill>
      </fill>
    </dxf>
    <dxf>
      <font>
        <b/>
        <sz val="9"/>
        <color rgb="FF006100"/>
        <name val="Arial"/>
      </font>
      <fill>
        <patternFill>
          <bgColor rgb="FFC6EFCE"/>
        </patternFill>
      </fill>
    </dxf>
    <dxf>
      <font>
        <b/>
        <sz val="9"/>
        <color rgb="FF595959"/>
        <name val="Arial"/>
      </font>
      <fill>
        <patternFill>
          <bgColor rgb="FFF2F2F2"/>
        </patternFill>
      </fill>
    </dxf>
    <dxf>
      <font>
        <b/>
        <sz val="9"/>
        <color rgb="FF1F4E79"/>
        <name val="Arial"/>
      </font>
      <fill>
        <patternFill>
          <bgColor rgb="FFD9E1F2"/>
        </patternFill>
      </fill>
    </dxf>
    <dxf>
      <font>
        <b/>
        <sz val="9"/>
        <color rgb="FF9C0006"/>
        <name val="Arial"/>
      </font>
      <fill>
        <patternFill>
          <bgColor rgb="FFFFC7CE"/>
        </patternFill>
      </fill>
    </dxf>
    <dxf>
      <font>
        <b/>
        <sz val="9"/>
        <color rgb="FF9C6500"/>
        <name val="Arial"/>
      </font>
      <fill>
        <patternFill>
          <bgColor rgb="FFFFEB9C"/>
        </patternFill>
      </fill>
    </dxf>
    <dxf>
      <font>
        <b/>
        <sz val="9"/>
        <color rgb="FF006100"/>
        <name val="Arial"/>
      </font>
      <fill>
        <patternFill>
          <bgColor rgb="FFC6EFCE"/>
        </patternFill>
      </fill>
    </dxf>
    <dxf>
      <font>
        <b/>
        <sz val="9"/>
        <color rgb="FF7E5109"/>
        <name val="Arial"/>
      </font>
      <fill>
        <patternFill>
          <bgColor rgb="FFFDEBD0"/>
        </patternFill>
      </fill>
    </dxf>
    <dxf>
      <font>
        <b/>
        <sz val="9"/>
        <color rgb="FF145A32"/>
        <name val="Arial"/>
      </font>
      <fill>
        <patternFill>
          <bgColor rgb="FFD5F5E3"/>
        </patternFill>
      </fill>
    </dxf>
    <dxf>
      <font>
        <b/>
        <sz val="9"/>
        <color rgb="FF1B4F72"/>
        <name val="Arial"/>
      </font>
      <fill>
        <patternFill>
          <bgColor rgb="FFD6EAF8"/>
        </patternFill>
      </fill>
    </dxf>
    <dxf>
      <font>
        <b/>
        <sz val="9"/>
        <color rgb="FF5B2C6F"/>
        <name val="Arial"/>
      </font>
      <fill>
        <patternFill>
          <bgColor rgb="FFE8DAEF"/>
        </patternFill>
      </fill>
    </dxf>
    <dxf>
      <font>
        <b/>
        <sz val="9"/>
        <color rgb="FF595959"/>
        <name val="Arial"/>
      </font>
      <fill>
        <patternFill>
          <bgColor rgb="FFF2F2F2"/>
        </patternFill>
      </fill>
    </dxf>
    <dxf>
      <font>
        <b/>
        <sz val="9"/>
        <color rgb="FF1F4E79"/>
        <name val="Arial"/>
      </font>
      <fill>
        <patternFill>
          <bgColor rgb="FFD9E1F2"/>
        </patternFill>
      </fill>
    </dxf>
    <dxf>
      <font>
        <b/>
        <sz val="9"/>
        <color rgb="FF9C0006"/>
        <name val="Arial"/>
      </font>
      <fill>
        <patternFill>
          <bgColor rgb="FFFFC7CE"/>
        </patternFill>
      </fill>
    </dxf>
    <dxf>
      <font>
        <b/>
        <sz val="9"/>
        <color rgb="FF9C6500"/>
        <name val="Arial"/>
      </font>
      <fill>
        <patternFill>
          <bgColor rgb="FFFFEB9C"/>
        </patternFill>
      </fill>
    </dxf>
    <dxf>
      <font>
        <b/>
        <sz val="9"/>
        <color rgb="FF006100"/>
        <name val="Arial"/>
      </font>
      <fill>
        <patternFill>
          <bgColor rgb="FFC6EFCE"/>
        </patternFill>
      </fill>
    </dxf>
    <dxf>
      <font>
        <b/>
        <sz val="9"/>
        <color rgb="FF595959"/>
        <name val="Arial"/>
      </font>
      <fill>
        <patternFill>
          <bgColor rgb="FFF2F2F2"/>
        </patternFill>
      </fill>
    </dxf>
    <dxf>
      <font>
        <b/>
        <sz val="9"/>
        <color rgb="FF1F4E79"/>
        <name val="Arial"/>
      </font>
      <fill>
        <patternFill>
          <bgColor rgb="FFD9E1F2"/>
        </patternFill>
      </fill>
    </dxf>
    <dxf>
      <font>
        <b/>
        <sz val="9"/>
        <color rgb="FF9C0006"/>
        <name val="Arial"/>
      </font>
      <fill>
        <patternFill>
          <bgColor rgb="FFFFC7CE"/>
        </patternFill>
      </fill>
    </dxf>
    <dxf>
      <font>
        <b/>
        <sz val="9"/>
        <color rgb="FF9C6500"/>
        <name val="Arial"/>
      </font>
      <fill>
        <patternFill>
          <bgColor rgb="FFFFEB9C"/>
        </patternFill>
      </fill>
    </dxf>
    <dxf>
      <font>
        <b/>
        <sz val="9"/>
        <color rgb="FF006100"/>
        <name val="Arial"/>
      </font>
      <fill>
        <patternFill>
          <bgColor rgb="FFC6EFCE"/>
        </patternFill>
      </fill>
    </dxf>
    <dxf>
      <font>
        <b/>
        <sz val="9"/>
        <color rgb="FF7E5109"/>
        <name val="Arial"/>
      </font>
      <fill>
        <patternFill>
          <bgColor rgb="FFFDEBD0"/>
        </patternFill>
      </fill>
    </dxf>
    <dxf>
      <font>
        <b/>
        <sz val="9"/>
        <color rgb="FF145A32"/>
        <name val="Arial"/>
      </font>
      <fill>
        <patternFill>
          <bgColor rgb="FFD5F5E3"/>
        </patternFill>
      </fill>
    </dxf>
    <dxf>
      <font>
        <b/>
        <sz val="9"/>
        <color rgb="FF1B4F72"/>
        <name val="Arial"/>
      </font>
      <fill>
        <patternFill>
          <bgColor rgb="FFD6EAF8"/>
        </patternFill>
      </fill>
    </dxf>
    <dxf>
      <font>
        <b/>
        <sz val="9"/>
        <color rgb="FF5B2C6F"/>
        <name val="Arial"/>
      </font>
      <fill>
        <patternFill>
          <bgColor rgb="FFE8DAEF"/>
        </patternFill>
      </fill>
    </dxf>
    <dxf>
      <font>
        <b/>
        <sz val="9"/>
        <color rgb="FF595959"/>
        <name val="Arial"/>
      </font>
      <fill>
        <patternFill>
          <bgColor rgb="FFF2F2F2"/>
        </patternFill>
      </fill>
    </dxf>
    <dxf>
      <font>
        <b/>
        <sz val="9"/>
        <color rgb="FF1F4E79"/>
        <name val="Arial"/>
      </font>
      <fill>
        <patternFill>
          <bgColor rgb="FFD9E1F2"/>
        </patternFill>
      </fill>
    </dxf>
    <dxf>
      <font>
        <b/>
        <sz val="9"/>
        <color rgb="FF9C0006"/>
        <name val="Arial"/>
      </font>
      <fill>
        <patternFill>
          <bgColor rgb="FFFFC7CE"/>
        </patternFill>
      </fill>
    </dxf>
    <dxf>
      <font>
        <b/>
        <sz val="9"/>
        <color rgb="FF9C6500"/>
        <name val="Arial"/>
      </font>
      <fill>
        <patternFill>
          <bgColor rgb="FFFFEB9C"/>
        </patternFill>
      </fill>
    </dxf>
    <dxf>
      <font>
        <b/>
        <sz val="9"/>
        <color rgb="FF006100"/>
        <name val="Arial"/>
      </font>
      <fill>
        <patternFill>
          <bgColor rgb="FFC6EFCE"/>
        </patternFill>
      </fill>
    </dxf>
    <dxf>
      <font>
        <b/>
        <sz val="9"/>
        <color rgb="FF595959"/>
        <name val="Arial"/>
      </font>
      <fill>
        <patternFill>
          <bgColor rgb="FFF2F2F2"/>
        </patternFill>
      </fill>
    </dxf>
    <dxf>
      <font>
        <b/>
        <sz val="9"/>
        <color rgb="FF1F4E79"/>
        <name val="Arial"/>
      </font>
      <fill>
        <patternFill>
          <bgColor rgb="FFD9E1F2"/>
        </patternFill>
      </fill>
    </dxf>
    <dxf>
      <font>
        <b/>
        <sz val="9"/>
        <color rgb="FF9C0006"/>
        <name val="Arial"/>
      </font>
      <fill>
        <patternFill>
          <bgColor rgb="FFFFC7CE"/>
        </patternFill>
      </fill>
    </dxf>
    <dxf>
      <font>
        <b/>
        <sz val="9"/>
        <color rgb="FF9C6500"/>
        <name val="Arial"/>
      </font>
      <fill>
        <patternFill>
          <bgColor rgb="FFFFEB9C"/>
        </patternFill>
      </fill>
    </dxf>
    <dxf>
      <font>
        <b/>
        <sz val="9"/>
        <color rgb="FF006100"/>
        <name val="Arial"/>
      </font>
      <fill>
        <patternFill>
          <bgColor rgb="FFC6EFCE"/>
        </patternFill>
      </fill>
    </dxf>
    <dxf>
      <font>
        <b/>
        <sz val="9"/>
        <color rgb="FF7E5109"/>
        <name val="Arial"/>
      </font>
      <fill>
        <patternFill>
          <bgColor rgb="FFFDEBD0"/>
        </patternFill>
      </fill>
    </dxf>
    <dxf>
      <font>
        <b/>
        <sz val="9"/>
        <color rgb="FF145A32"/>
        <name val="Arial"/>
      </font>
      <fill>
        <patternFill>
          <bgColor rgb="FFD5F5E3"/>
        </patternFill>
      </fill>
    </dxf>
    <dxf>
      <font>
        <b/>
        <sz val="9"/>
        <color rgb="FF1B4F72"/>
        <name val="Arial"/>
      </font>
      <fill>
        <patternFill>
          <bgColor rgb="FFD6EAF8"/>
        </patternFill>
      </fill>
    </dxf>
    <dxf>
      <font>
        <b/>
        <sz val="9"/>
        <color rgb="FF5B2C6F"/>
        <name val="Arial"/>
      </font>
      <fill>
        <patternFill>
          <bgColor rgb="FFE8DAEF"/>
        </patternFill>
      </fill>
    </dxf>
    <dxf>
      <font>
        <b/>
        <sz val="9"/>
        <color rgb="FF595959"/>
        <name val="Arial"/>
      </font>
      <fill>
        <patternFill>
          <bgColor rgb="FFF2F2F2"/>
        </patternFill>
      </fill>
    </dxf>
    <dxf>
      <font>
        <b/>
        <sz val="9"/>
        <color rgb="FF1F4E79"/>
        <name val="Arial"/>
      </font>
      <fill>
        <patternFill>
          <bgColor rgb="FFD9E1F2"/>
        </patternFill>
      </fill>
    </dxf>
    <dxf>
      <font>
        <b/>
        <sz val="9"/>
        <color rgb="FF9C0006"/>
        <name val="Arial"/>
      </font>
      <fill>
        <patternFill>
          <bgColor rgb="FFFFC7CE"/>
        </patternFill>
      </fill>
    </dxf>
    <dxf>
      <font>
        <b/>
        <sz val="9"/>
        <color rgb="FF9C6500"/>
        <name val="Arial"/>
      </font>
      <fill>
        <patternFill>
          <bgColor rgb="FFFFEB9C"/>
        </patternFill>
      </fill>
    </dxf>
    <dxf>
      <font>
        <b/>
        <sz val="9"/>
        <color rgb="FF006100"/>
        <name val="Arial"/>
      </font>
      <fill>
        <patternFill>
          <bgColor rgb="FFC6EFCE"/>
        </patternFill>
      </fill>
    </dxf>
    <dxf>
      <font>
        <b/>
        <sz val="8"/>
        <color rgb="FF595959"/>
        <name val="Arial"/>
      </font>
      <fill>
        <patternFill>
          <bgColor rgb="FFF2F2F2"/>
        </patternFill>
      </fill>
    </dxf>
    <dxf>
      <font>
        <b/>
        <sz val="8"/>
        <color rgb="FF1F4E79"/>
        <name val="Arial"/>
      </font>
      <fill>
        <patternFill>
          <bgColor rgb="FFD9E1F2"/>
        </patternFill>
      </fill>
    </dxf>
    <dxf>
      <font>
        <b/>
        <sz val="8"/>
        <color rgb="FF9C0006"/>
        <name val="Arial"/>
      </font>
      <fill>
        <patternFill>
          <bgColor rgb="FFFFC7CE"/>
        </patternFill>
      </fill>
    </dxf>
    <dxf>
      <font>
        <b/>
        <sz val="8"/>
        <color rgb="FF9C6500"/>
        <name val="Arial"/>
      </font>
      <fill>
        <patternFill>
          <bgColor rgb="FFFFEB9C"/>
        </patternFill>
      </fill>
    </dxf>
    <dxf>
      <font>
        <b/>
        <sz val="8"/>
        <color rgb="FF006100"/>
        <name val="Arial"/>
      </font>
      <fill>
        <patternFill>
          <bgColor rgb="FFC6EFCE"/>
        </patternFill>
      </fill>
    </dxf>
    <dxf>
      <font>
        <b/>
        <sz val="8"/>
        <color rgb="FF595959"/>
        <name val="Arial"/>
      </font>
      <fill>
        <patternFill>
          <bgColor rgb="FFF2F2F2"/>
        </patternFill>
      </fill>
    </dxf>
    <dxf>
      <font>
        <b/>
        <sz val="8"/>
        <color rgb="FF1F4E79"/>
        <name val="Arial"/>
      </font>
      <fill>
        <patternFill>
          <bgColor rgb="FFD9E1F2"/>
        </patternFill>
      </fill>
    </dxf>
    <dxf>
      <font>
        <b/>
        <sz val="8"/>
        <color rgb="FF9C0006"/>
        <name val="Arial"/>
      </font>
      <fill>
        <patternFill>
          <bgColor rgb="FFFFC7CE"/>
        </patternFill>
      </fill>
    </dxf>
    <dxf>
      <font>
        <b/>
        <sz val="8"/>
        <color rgb="FF9C6500"/>
        <name val="Arial"/>
      </font>
      <fill>
        <patternFill>
          <bgColor rgb="FFFFEB9C"/>
        </patternFill>
      </fill>
    </dxf>
    <dxf>
      <font>
        <b/>
        <sz val="8"/>
        <color rgb="FF006100"/>
        <name val="Arial"/>
      </font>
      <fill>
        <patternFill>
          <bgColor rgb="FFC6EFCE"/>
        </patternFill>
      </fill>
    </dxf>
    <dxf>
      <font>
        <b/>
        <sz val="10"/>
        <color rgb="FF595959"/>
        <name val="Arial"/>
      </font>
      <fill>
        <patternFill>
          <bgColor rgb="FFF2F2F2"/>
        </patternFill>
      </fill>
    </dxf>
    <dxf>
      <font>
        <b/>
        <sz val="10"/>
        <color rgb="FF1F4E79"/>
        <name val="Arial"/>
      </font>
      <fill>
        <patternFill>
          <bgColor rgb="FFD9E1F2"/>
        </patternFill>
      </fill>
    </dxf>
    <dxf>
      <font>
        <b/>
        <sz val="10"/>
        <color rgb="FF9C0006"/>
        <name val="Arial"/>
      </font>
      <fill>
        <patternFill>
          <bgColor rgb="FFFFC7CE"/>
        </patternFill>
      </fill>
    </dxf>
    <dxf>
      <font>
        <b/>
        <sz val="10"/>
        <color rgb="FF9C6500"/>
        <name val="Arial"/>
      </font>
      <fill>
        <patternFill>
          <bgColor rgb="FFFFEB9C"/>
        </patternFill>
      </fill>
    </dxf>
    <dxf>
      <font>
        <b/>
        <sz val="10"/>
        <color rgb="FF006100"/>
        <name val="Arial"/>
      </font>
      <fill>
        <patternFill>
          <bgColor rgb="FFC6EFCE"/>
        </patternFill>
      </fill>
    </dxf>
  </dxfs>
  <tableStyles count="0" defaultTableStyle="TableStyleMedium2" defaultPivotStyle="PivotStyleLight16"/>
  <colors>
    <indexedColors>
      <rgbColor rgb="FF000000"/>
      <rgbColor rgb="FFFFFFFF"/>
      <rgbColor rgb="FFFF0000"/>
      <rgbColor rgb="FF00FF00"/>
      <rgbColor rgb="FF0000FF"/>
      <rgbColor rgb="FFFFF2CC"/>
      <rgbColor rgb="FFFF00FF"/>
      <rgbColor rgb="FF00FFFF"/>
      <rgbColor rgb="FF9C0006"/>
      <rgbColor rgb="FF006100"/>
      <rgbColor rgb="FF000080"/>
      <rgbColor rgb="FF9C6500"/>
      <rgbColor rgb="FF800080"/>
      <rgbColor rgb="FF117A65"/>
      <rgbColor rgb="FFD9E1F2"/>
      <rgbColor rgb="FF7F7F7F"/>
      <rgbColor rgb="FFE7E6E6"/>
      <rgbColor rgb="FFC65911"/>
      <rgbColor rgb="FFFFFDE7"/>
      <rgbColor rgb="FFD6EAF8"/>
      <rgbColor rgb="FF660066"/>
      <rgbColor rgb="FFFF8080"/>
      <rgbColor rgb="FF0066CC"/>
      <rgbColor rgb="FFD9D9D9"/>
      <rgbColor rgb="FF000080"/>
      <rgbColor rgb="FFFF00FF"/>
      <rgbColor rgb="FFFDEBD0"/>
      <rgbColor rgb="FF00FFFF"/>
      <rgbColor rgb="FF800080"/>
      <rgbColor rgb="FF800000"/>
      <rgbColor rgb="FF008080"/>
      <rgbColor rgb="FF0000FF"/>
      <rgbColor rgb="FF00CCFF"/>
      <rgbColor rgb="FFEAF3EE"/>
      <rgbColor rgb="FFD5F5E3"/>
      <rgbColor rgb="FFFFEB9C"/>
      <rgbColor rgb="FFC6EFCE"/>
      <rgbColor rgb="FFFCE4D6"/>
      <rgbColor rgb="FFE8DAEF"/>
      <rgbColor rgb="FFFFC7CE"/>
      <rgbColor rgb="FF3366FF"/>
      <rgbColor rgb="FF33CCCC"/>
      <rgbColor rgb="FF99CC00"/>
      <rgbColor rgb="FFF2F2F2"/>
      <rgbColor rgb="FFFF9900"/>
      <rgbColor rgb="FFE67E22"/>
      <rgbColor rgb="FF595959"/>
      <rgbColor rgb="FFF4F7F5"/>
      <rgbColor rgb="FF1B4F72"/>
      <rgbColor rgb="FF00B050"/>
      <rgbColor rgb="FF0F5132"/>
      <rgbColor rgb="FF145A32"/>
      <rgbColor rgb="FF7E5109"/>
      <rgbColor rgb="FF993366"/>
      <rgbColor rgb="FF1F4E79"/>
      <rgbColor rgb="FF5B2C6F"/>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9"/>
  <sheetViews>
    <sheetView showGridLines="0" zoomScaleNormal="100" workbookViewId="0"/>
  </sheetViews>
  <sheetFormatPr defaultColWidth="8.6328125" defaultRowHeight="14.5" x14ac:dyDescent="0.35"/>
  <cols>
    <col min="1" max="3" width="20" style="15" customWidth="1"/>
    <col min="4" max="6" width="16" style="15" customWidth="1"/>
  </cols>
  <sheetData>
    <row r="1" spans="1:6" ht="25.5" customHeight="1" x14ac:dyDescent="0.35">
      <c r="A1" s="14" t="s">
        <v>0</v>
      </c>
      <c r="B1" s="14"/>
      <c r="C1" s="14"/>
      <c r="D1" s="14"/>
      <c r="E1" s="14"/>
      <c r="F1" s="14"/>
    </row>
    <row r="2" spans="1:6" ht="18" customHeight="1" x14ac:dyDescent="0.35">
      <c r="A2" s="13" t="s">
        <v>1</v>
      </c>
      <c r="B2" s="13"/>
      <c r="C2" s="13"/>
      <c r="D2" s="13"/>
      <c r="E2" s="13"/>
      <c r="F2" s="13"/>
    </row>
    <row r="4" spans="1:6" ht="19.5" customHeight="1" x14ac:dyDescent="0.35">
      <c r="A4" s="12" t="s">
        <v>2</v>
      </c>
      <c r="B4" s="12"/>
      <c r="C4" s="12"/>
      <c r="D4" s="12"/>
      <c r="E4" s="12"/>
      <c r="F4" s="12"/>
    </row>
    <row r="5" spans="1:6" ht="30" customHeight="1" x14ac:dyDescent="0.35">
      <c r="A5" s="16" t="s">
        <v>3</v>
      </c>
      <c r="B5" s="11" t="s">
        <v>4</v>
      </c>
      <c r="C5" s="11"/>
      <c r="D5" s="11"/>
      <c r="E5" s="11"/>
      <c r="F5" s="11"/>
    </row>
    <row r="6" spans="1:6" ht="30" customHeight="1" x14ac:dyDescent="0.35">
      <c r="A6" s="17" t="s">
        <v>5</v>
      </c>
      <c r="B6" s="11" t="s">
        <v>6</v>
      </c>
      <c r="C6" s="11"/>
      <c r="D6" s="11"/>
      <c r="E6" s="11"/>
      <c r="F6" s="11"/>
    </row>
    <row r="7" spans="1:6" ht="30" customHeight="1" x14ac:dyDescent="0.35">
      <c r="A7" s="18" t="s">
        <v>7</v>
      </c>
      <c r="B7" s="11" t="s">
        <v>8</v>
      </c>
      <c r="C7" s="11"/>
      <c r="D7" s="11"/>
      <c r="E7" s="11"/>
      <c r="F7" s="11"/>
    </row>
    <row r="8" spans="1:6" ht="30" customHeight="1" x14ac:dyDescent="0.35">
      <c r="A8" s="19" t="s">
        <v>9</v>
      </c>
      <c r="B8" s="11" t="s">
        <v>10</v>
      </c>
      <c r="C8" s="11"/>
      <c r="D8" s="11"/>
      <c r="E8" s="11"/>
      <c r="F8" s="11"/>
    </row>
    <row r="10" spans="1:6" ht="19.5" customHeight="1" x14ac:dyDescent="0.35">
      <c r="A10" s="12" t="s">
        <v>11</v>
      </c>
      <c r="B10" s="12"/>
      <c r="C10" s="12"/>
      <c r="D10" s="12"/>
      <c r="E10" s="12"/>
      <c r="F10" s="12"/>
    </row>
    <row r="11" spans="1:6" ht="33.75" customHeight="1" x14ac:dyDescent="0.35">
      <c r="A11" s="20" t="s">
        <v>12</v>
      </c>
      <c r="B11" s="11" t="s">
        <v>13</v>
      </c>
      <c r="C11" s="11"/>
      <c r="D11" s="11"/>
      <c r="E11" s="11"/>
      <c r="F11" s="11"/>
    </row>
    <row r="12" spans="1:6" ht="33.75" customHeight="1" x14ac:dyDescent="0.35">
      <c r="A12" s="20" t="s">
        <v>14</v>
      </c>
      <c r="B12" s="11" t="s">
        <v>15</v>
      </c>
      <c r="C12" s="11"/>
      <c r="D12" s="11"/>
      <c r="E12" s="11"/>
      <c r="F12" s="11"/>
    </row>
    <row r="13" spans="1:6" ht="33.75" customHeight="1" x14ac:dyDescent="0.35">
      <c r="A13" s="20" t="s">
        <v>16</v>
      </c>
      <c r="B13" s="11" t="s">
        <v>17</v>
      </c>
      <c r="C13" s="11"/>
      <c r="D13" s="11"/>
      <c r="E13" s="11"/>
      <c r="F13" s="11"/>
    </row>
    <row r="14" spans="1:6" ht="33.75" customHeight="1" x14ac:dyDescent="0.35">
      <c r="A14" s="20" t="s">
        <v>18</v>
      </c>
      <c r="B14" s="11" t="s">
        <v>19</v>
      </c>
      <c r="C14" s="11"/>
      <c r="D14" s="11"/>
      <c r="E14" s="11"/>
      <c r="F14" s="11"/>
    </row>
    <row r="16" spans="1:6" ht="19.5" customHeight="1" x14ac:dyDescent="0.35">
      <c r="A16" s="12" t="s">
        <v>20</v>
      </c>
      <c r="B16" s="12"/>
      <c r="C16" s="12"/>
      <c r="D16" s="12"/>
      <c r="E16" s="12"/>
      <c r="F16" s="12"/>
    </row>
    <row r="17" spans="1:6" ht="15" customHeight="1" x14ac:dyDescent="0.35">
      <c r="A17" s="10" t="s">
        <v>21</v>
      </c>
      <c r="B17" s="10"/>
      <c r="C17" s="10"/>
      <c r="D17" s="10"/>
      <c r="E17" s="10"/>
      <c r="F17" s="10"/>
    </row>
    <row r="18" spans="1:6" ht="15" customHeight="1" x14ac:dyDescent="0.35">
      <c r="A18" s="9" t="s">
        <v>22</v>
      </c>
      <c r="B18" s="9"/>
      <c r="C18" s="9"/>
      <c r="D18" s="9"/>
      <c r="E18" s="9"/>
      <c r="F18" s="9"/>
    </row>
    <row r="19" spans="1:6" ht="15" customHeight="1" x14ac:dyDescent="0.35">
      <c r="A19" s="10" t="s">
        <v>23</v>
      </c>
      <c r="B19" s="10"/>
      <c r="C19" s="10"/>
      <c r="D19" s="10"/>
      <c r="E19" s="10"/>
      <c r="F19" s="10"/>
    </row>
    <row r="20" spans="1:6" ht="15" customHeight="1" x14ac:dyDescent="0.35">
      <c r="A20" s="9" t="s">
        <v>24</v>
      </c>
      <c r="B20" s="9"/>
      <c r="C20" s="9"/>
      <c r="D20" s="9"/>
      <c r="E20" s="9"/>
      <c r="F20" s="9"/>
    </row>
    <row r="21" spans="1:6" ht="15" customHeight="1" x14ac:dyDescent="0.35">
      <c r="A21" s="10" t="s">
        <v>25</v>
      </c>
      <c r="B21" s="10"/>
      <c r="C21" s="10"/>
      <c r="D21" s="10"/>
      <c r="E21" s="10"/>
      <c r="F21" s="10"/>
    </row>
    <row r="23" spans="1:6" ht="19.5" customHeight="1" x14ac:dyDescent="0.35">
      <c r="A23" s="12" t="s">
        <v>26</v>
      </c>
      <c r="B23" s="12"/>
      <c r="C23" s="12"/>
      <c r="D23" s="12"/>
      <c r="E23" s="12"/>
      <c r="F23" s="12"/>
    </row>
    <row r="24" spans="1:6" ht="37.5" customHeight="1" x14ac:dyDescent="0.35">
      <c r="A24" s="8" t="s">
        <v>27</v>
      </c>
      <c r="B24" s="8"/>
      <c r="C24" s="7" t="s">
        <v>28</v>
      </c>
      <c r="D24" s="7"/>
      <c r="E24" s="7"/>
      <c r="F24" s="7"/>
    </row>
    <row r="25" spans="1:6" ht="37.5" customHeight="1" x14ac:dyDescent="0.35">
      <c r="A25" s="8" t="s">
        <v>29</v>
      </c>
      <c r="B25" s="8"/>
      <c r="C25" s="7" t="s">
        <v>30</v>
      </c>
      <c r="D25" s="7"/>
      <c r="E25" s="7"/>
      <c r="F25" s="7"/>
    </row>
    <row r="26" spans="1:6" ht="21.75" customHeight="1" x14ac:dyDescent="0.35">
      <c r="A26" s="8" t="s">
        <v>31</v>
      </c>
      <c r="B26" s="8"/>
      <c r="C26" s="7" t="s">
        <v>32</v>
      </c>
      <c r="D26" s="7"/>
      <c r="E26" s="7"/>
      <c r="F26" s="7"/>
    </row>
    <row r="27" spans="1:6" ht="21.75" customHeight="1" x14ac:dyDescent="0.35">
      <c r="A27" s="6" t="s">
        <v>33</v>
      </c>
      <c r="B27" s="6"/>
      <c r="C27" s="7" t="s">
        <v>34</v>
      </c>
      <c r="D27" s="7"/>
      <c r="E27" s="7"/>
      <c r="F27" s="7"/>
    </row>
    <row r="29" spans="1:6" ht="19.5" customHeight="1" x14ac:dyDescent="0.35">
      <c r="A29" s="12" t="s">
        <v>35</v>
      </c>
      <c r="B29" s="12"/>
      <c r="C29" s="12"/>
      <c r="D29" s="12"/>
      <c r="E29" s="12"/>
      <c r="F29" s="12"/>
    </row>
    <row r="30" spans="1:6" ht="15" customHeight="1" x14ac:dyDescent="0.35">
      <c r="A30" s="21" t="s">
        <v>36</v>
      </c>
      <c r="B30" s="5" t="s">
        <v>37</v>
      </c>
      <c r="C30" s="5"/>
      <c r="D30" s="5"/>
      <c r="E30" s="5"/>
      <c r="F30" s="5"/>
    </row>
    <row r="31" spans="1:6" ht="15" customHeight="1" x14ac:dyDescent="0.35">
      <c r="D31" s="22"/>
    </row>
    <row r="32" spans="1:6" ht="15" customHeight="1" x14ac:dyDescent="0.35">
      <c r="E32" s="22"/>
    </row>
    <row r="33" spans="1:6" ht="15" customHeight="1" x14ac:dyDescent="0.35">
      <c r="F33" s="22"/>
    </row>
    <row r="34" spans="1:6" ht="15" customHeight="1" x14ac:dyDescent="0.35">
      <c r="A34" s="23" t="s">
        <v>38</v>
      </c>
      <c r="B34" s="5" t="s">
        <v>39</v>
      </c>
      <c r="C34" s="5"/>
      <c r="D34" s="5"/>
      <c r="E34" s="5"/>
      <c r="F34" s="5"/>
    </row>
    <row r="35" spans="1:6" ht="15" customHeight="1" x14ac:dyDescent="0.35">
      <c r="D35" s="22"/>
    </row>
    <row r="36" spans="1:6" ht="15" customHeight="1" x14ac:dyDescent="0.35">
      <c r="E36" s="22"/>
    </row>
    <row r="37" spans="1:6" ht="15" customHeight="1" x14ac:dyDescent="0.35">
      <c r="F37" s="22"/>
    </row>
    <row r="38" spans="1:6" ht="15" customHeight="1" x14ac:dyDescent="0.35">
      <c r="A38" s="24" t="s">
        <v>40</v>
      </c>
      <c r="B38" s="5" t="s">
        <v>41</v>
      </c>
      <c r="C38" s="5"/>
      <c r="D38" s="5"/>
      <c r="E38" s="5"/>
      <c r="F38" s="5"/>
    </row>
    <row r="39" spans="1:6" ht="15" customHeight="1" x14ac:dyDescent="0.35">
      <c r="D39" s="22"/>
    </row>
    <row r="40" spans="1:6" ht="15" customHeight="1" x14ac:dyDescent="0.35">
      <c r="E40" s="22"/>
    </row>
    <row r="41" spans="1:6" ht="15" customHeight="1" x14ac:dyDescent="0.35">
      <c r="F41" s="22"/>
    </row>
    <row r="42" spans="1:6" ht="15" customHeight="1" x14ac:dyDescent="0.35">
      <c r="A42" s="25" t="s">
        <v>42</v>
      </c>
      <c r="B42" s="5" t="s">
        <v>43</v>
      </c>
      <c r="C42" s="5"/>
      <c r="D42" s="5"/>
      <c r="E42" s="5"/>
      <c r="F42" s="5"/>
    </row>
    <row r="43" spans="1:6" ht="15" customHeight="1" x14ac:dyDescent="0.35">
      <c r="D43" s="22"/>
    </row>
    <row r="44" spans="1:6" ht="15" customHeight="1" x14ac:dyDescent="0.35">
      <c r="E44" s="22"/>
    </row>
    <row r="45" spans="1:6" ht="15" customHeight="1" x14ac:dyDescent="0.35">
      <c r="F45" s="22"/>
    </row>
    <row r="46" spans="1:6" ht="15" customHeight="1" x14ac:dyDescent="0.35">
      <c r="A46" s="26" t="s">
        <v>44</v>
      </c>
      <c r="B46" s="5" t="s">
        <v>45</v>
      </c>
      <c r="C46" s="5"/>
      <c r="D46" s="5"/>
      <c r="E46" s="5"/>
      <c r="F46" s="5"/>
    </row>
    <row r="47" spans="1:6" ht="15" customHeight="1" x14ac:dyDescent="0.35">
      <c r="D47" s="22"/>
    </row>
    <row r="48" spans="1:6" ht="15" customHeight="1" x14ac:dyDescent="0.35">
      <c r="E48" s="22"/>
    </row>
    <row r="49" spans="6:6" ht="15" customHeight="1" x14ac:dyDescent="0.35">
      <c r="F49" s="22"/>
    </row>
  </sheetData>
  <mergeCells count="33">
    <mergeCell ref="B46:F46"/>
    <mergeCell ref="A29:F29"/>
    <mergeCell ref="B30:F30"/>
    <mergeCell ref="B34:F34"/>
    <mergeCell ref="B38:F38"/>
    <mergeCell ref="B42:F42"/>
    <mergeCell ref="A25:B25"/>
    <mergeCell ref="C25:F25"/>
    <mergeCell ref="A26:B26"/>
    <mergeCell ref="C26:F26"/>
    <mergeCell ref="A27:B27"/>
    <mergeCell ref="C27:F27"/>
    <mergeCell ref="A19:F19"/>
    <mergeCell ref="A20:F20"/>
    <mergeCell ref="A21:F21"/>
    <mergeCell ref="A23:F23"/>
    <mergeCell ref="A24:B24"/>
    <mergeCell ref="C24:F24"/>
    <mergeCell ref="B13:F13"/>
    <mergeCell ref="B14:F14"/>
    <mergeCell ref="A16:F16"/>
    <mergeCell ref="A17:F17"/>
    <mergeCell ref="A18:F18"/>
    <mergeCell ref="B7:F7"/>
    <mergeCell ref="B8:F8"/>
    <mergeCell ref="A10:F10"/>
    <mergeCell ref="B11:F11"/>
    <mergeCell ref="B12:F12"/>
    <mergeCell ref="A1:F1"/>
    <mergeCell ref="A2:F2"/>
    <mergeCell ref="A4:F4"/>
    <mergeCell ref="B5:F5"/>
    <mergeCell ref="B6:F6"/>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6"/>
  <sheetViews>
    <sheetView showGridLines="0" zoomScaleNormal="100" workbookViewId="0">
      <pane xSplit="1" ySplit="4" topLeftCell="B5" activePane="bottomRight" state="frozen"/>
      <selection pane="topRight" activeCell="B1" sqref="B1"/>
      <selection pane="bottomLeft" activeCell="A5" sqref="A5"/>
      <selection pane="bottomRight"/>
    </sheetView>
  </sheetViews>
  <sheetFormatPr defaultColWidth="8.6328125" defaultRowHeight="14.5" x14ac:dyDescent="0.35"/>
  <cols>
    <col min="1" max="1" width="22" style="15" customWidth="1"/>
    <col min="2" max="14" width="5.54296875" style="15" customWidth="1"/>
    <col min="15" max="15" width="6" style="15" customWidth="1"/>
  </cols>
  <sheetData>
    <row r="1" spans="1:15" ht="25.5" customHeight="1" x14ac:dyDescent="0.35">
      <c r="A1" s="14" t="s">
        <v>46</v>
      </c>
      <c r="B1" s="14"/>
      <c r="C1" s="14"/>
      <c r="D1" s="14"/>
      <c r="E1" s="14"/>
      <c r="F1" s="14"/>
      <c r="G1" s="14"/>
      <c r="H1" s="14"/>
      <c r="I1" s="14"/>
      <c r="J1" s="14"/>
      <c r="K1" s="14"/>
      <c r="L1" s="14"/>
      <c r="M1" s="14"/>
      <c r="N1" s="14"/>
      <c r="O1" s="14"/>
    </row>
    <row r="2" spans="1:15" ht="18" customHeight="1" x14ac:dyDescent="0.35">
      <c r="A2" s="13" t="s">
        <v>47</v>
      </c>
      <c r="B2" s="13"/>
      <c r="C2" s="13"/>
      <c r="D2" s="13"/>
      <c r="E2" s="13"/>
      <c r="F2" s="13"/>
      <c r="G2" s="13"/>
      <c r="H2" s="13"/>
      <c r="I2" s="13"/>
      <c r="J2" s="13"/>
      <c r="K2" s="13"/>
      <c r="L2" s="13"/>
      <c r="M2" s="13"/>
      <c r="N2" s="13"/>
      <c r="O2" s="13"/>
    </row>
    <row r="4" spans="1:15" ht="19.5" customHeight="1" x14ac:dyDescent="0.35">
      <c r="A4" s="12" t="s">
        <v>48</v>
      </c>
      <c r="B4" s="12"/>
      <c r="C4" s="12"/>
      <c r="D4" s="12"/>
      <c r="E4" s="12"/>
      <c r="F4" s="12"/>
      <c r="G4" s="12"/>
      <c r="H4" s="12"/>
      <c r="I4" s="12"/>
      <c r="J4" s="12"/>
      <c r="K4" s="12"/>
      <c r="L4" s="12"/>
      <c r="M4" s="12"/>
      <c r="N4" s="12"/>
      <c r="O4" s="12"/>
    </row>
    <row r="5" spans="1:15" ht="15" customHeight="1" x14ac:dyDescent="0.35">
      <c r="A5" s="8" t="s">
        <v>49</v>
      </c>
      <c r="B5" s="8"/>
      <c r="C5" s="8"/>
      <c r="D5" s="27" t="s">
        <v>50</v>
      </c>
      <c r="E5" s="8" t="s">
        <v>51</v>
      </c>
      <c r="F5" s="8"/>
      <c r="G5" s="8"/>
      <c r="H5" s="8"/>
      <c r="I5" s="8"/>
      <c r="J5" s="8"/>
      <c r="K5" s="8"/>
      <c r="L5" s="8"/>
      <c r="M5" s="8"/>
      <c r="N5" s="8"/>
      <c r="O5" s="8"/>
    </row>
    <row r="6" spans="1:15" ht="25.5" customHeight="1" x14ac:dyDescent="0.35">
      <c r="A6" s="4" t="s">
        <v>3</v>
      </c>
      <c r="B6" s="4"/>
      <c r="C6" s="4"/>
      <c r="D6" s="28" t="s">
        <v>38</v>
      </c>
      <c r="E6" s="3" t="s">
        <v>52</v>
      </c>
      <c r="F6" s="3"/>
      <c r="G6" s="3"/>
      <c r="H6" s="3"/>
      <c r="I6" s="3"/>
      <c r="J6" s="3"/>
      <c r="K6" s="3"/>
      <c r="L6" s="3"/>
      <c r="M6" s="3"/>
      <c r="N6" s="3"/>
      <c r="O6" s="3"/>
    </row>
    <row r="7" spans="1:15" ht="25.5" customHeight="1" x14ac:dyDescent="0.35">
      <c r="A7" s="2" t="s">
        <v>5</v>
      </c>
      <c r="B7" s="2"/>
      <c r="C7" s="2"/>
      <c r="D7" s="28" t="s">
        <v>36</v>
      </c>
      <c r="E7" s="3" t="s">
        <v>53</v>
      </c>
      <c r="F7" s="3"/>
      <c r="G7" s="3"/>
      <c r="H7" s="3"/>
      <c r="I7" s="3"/>
      <c r="J7" s="3"/>
      <c r="K7" s="3"/>
      <c r="L7" s="3"/>
      <c r="M7" s="3"/>
      <c r="N7" s="3"/>
      <c r="O7" s="3"/>
    </row>
    <row r="8" spans="1:15" ht="25.5" customHeight="1" x14ac:dyDescent="0.35">
      <c r="A8" s="1" t="s">
        <v>7</v>
      </c>
      <c r="B8" s="1"/>
      <c r="C8" s="1"/>
      <c r="D8" s="28" t="s">
        <v>38</v>
      </c>
      <c r="E8" s="3" t="s">
        <v>54</v>
      </c>
      <c r="F8" s="3"/>
      <c r="G8" s="3"/>
      <c r="H8" s="3"/>
      <c r="I8" s="3"/>
      <c r="J8" s="3"/>
      <c r="K8" s="3"/>
      <c r="L8" s="3"/>
      <c r="M8" s="3"/>
      <c r="N8" s="3"/>
      <c r="O8" s="3"/>
    </row>
    <row r="9" spans="1:15" ht="25.5" customHeight="1" x14ac:dyDescent="0.35">
      <c r="A9" s="67" t="s">
        <v>9</v>
      </c>
      <c r="B9" s="67"/>
      <c r="C9" s="67"/>
      <c r="D9" s="28" t="s">
        <v>36</v>
      </c>
      <c r="E9" s="3" t="s">
        <v>55</v>
      </c>
      <c r="F9" s="3"/>
      <c r="G9" s="3"/>
      <c r="H9" s="3"/>
      <c r="I9" s="3"/>
      <c r="J9" s="3"/>
      <c r="K9" s="3"/>
      <c r="L9" s="3"/>
      <c r="M9" s="3"/>
      <c r="N9" s="3"/>
      <c r="O9" s="3"/>
    </row>
    <row r="11" spans="1:15" ht="19.5" customHeight="1" x14ac:dyDescent="0.35">
      <c r="A11" s="12" t="s">
        <v>56</v>
      </c>
      <c r="B11" s="12"/>
      <c r="C11" s="12"/>
      <c r="D11" s="12"/>
      <c r="E11" s="12"/>
      <c r="F11" s="12"/>
      <c r="G11" s="12"/>
      <c r="H11" s="12"/>
      <c r="I11" s="12"/>
      <c r="J11" s="12"/>
      <c r="K11" s="12"/>
      <c r="L11" s="12"/>
      <c r="M11" s="12"/>
      <c r="N11" s="12"/>
      <c r="O11" s="12"/>
    </row>
    <row r="12" spans="1:15" ht="15" customHeight="1" x14ac:dyDescent="0.35">
      <c r="A12" s="8" t="s">
        <v>57</v>
      </c>
      <c r="B12" s="8"/>
      <c r="C12" s="8"/>
      <c r="D12" s="8"/>
      <c r="E12" s="8"/>
      <c r="F12" s="8"/>
      <c r="G12" s="8"/>
      <c r="H12" s="8" t="s">
        <v>58</v>
      </c>
      <c r="I12" s="8"/>
      <c r="J12" s="8" t="s">
        <v>59</v>
      </c>
      <c r="K12" s="8"/>
      <c r="L12" s="8" t="s">
        <v>60</v>
      </c>
      <c r="M12" s="8"/>
      <c r="N12" s="8" t="s">
        <v>61</v>
      </c>
      <c r="O12" s="8"/>
    </row>
    <row r="13" spans="1:15" ht="21.75" customHeight="1" x14ac:dyDescent="0.35">
      <c r="A13" s="68" t="s">
        <v>62</v>
      </c>
      <c r="B13" s="68"/>
      <c r="C13" s="68"/>
      <c r="D13" s="68"/>
      <c r="E13" s="68"/>
      <c r="F13" s="68"/>
      <c r="G13" s="68"/>
      <c r="H13" s="69">
        <v>70000</v>
      </c>
      <c r="I13" s="69"/>
      <c r="J13" s="70"/>
      <c r="K13" s="70"/>
      <c r="L13" s="71" t="s">
        <v>63</v>
      </c>
      <c r="M13" s="71"/>
      <c r="N13" s="72" t="s">
        <v>64</v>
      </c>
      <c r="O13" s="72"/>
    </row>
    <row r="14" spans="1:15" ht="15" customHeight="1" x14ac:dyDescent="0.35">
      <c r="A14" s="73" t="s">
        <v>65</v>
      </c>
      <c r="B14" s="73"/>
      <c r="C14" s="73"/>
      <c r="D14" s="73"/>
      <c r="E14" s="73"/>
      <c r="F14" s="73"/>
      <c r="G14" s="73"/>
      <c r="H14" s="74">
        <v>150000</v>
      </c>
      <c r="I14" s="74"/>
      <c r="J14" s="70"/>
      <c r="K14" s="70"/>
      <c r="L14" s="75" t="s">
        <v>66</v>
      </c>
      <c r="M14" s="75"/>
      <c r="N14" s="76"/>
      <c r="O14" s="76"/>
    </row>
    <row r="15" spans="1:15" ht="15" customHeight="1" x14ac:dyDescent="0.35">
      <c r="A15" s="68" t="s">
        <v>67</v>
      </c>
      <c r="B15" s="68"/>
      <c r="C15" s="68"/>
      <c r="D15" s="68"/>
      <c r="E15" s="68"/>
      <c r="F15" s="68"/>
      <c r="G15" s="68"/>
      <c r="H15" s="69">
        <v>10000</v>
      </c>
      <c r="I15" s="69"/>
      <c r="J15" s="70"/>
      <c r="K15" s="70"/>
      <c r="L15" s="71" t="s">
        <v>66</v>
      </c>
      <c r="M15" s="71"/>
      <c r="N15" s="72"/>
      <c r="O15" s="72"/>
    </row>
    <row r="16" spans="1:15" ht="32.25" customHeight="1" x14ac:dyDescent="0.35">
      <c r="A16" s="73" t="s">
        <v>68</v>
      </c>
      <c r="B16" s="73"/>
      <c r="C16" s="73"/>
      <c r="D16" s="73"/>
      <c r="E16" s="73"/>
      <c r="F16" s="73"/>
      <c r="G16" s="73"/>
      <c r="H16" s="74"/>
      <c r="I16" s="74"/>
      <c r="J16" s="70"/>
      <c r="K16" s="70"/>
      <c r="L16" s="75" t="s">
        <v>66</v>
      </c>
      <c r="M16" s="75"/>
      <c r="N16" s="76" t="s">
        <v>69</v>
      </c>
      <c r="O16" s="76"/>
    </row>
    <row r="17" spans="1:15" ht="15" customHeight="1" x14ac:dyDescent="0.35">
      <c r="A17" s="68" t="s">
        <v>70</v>
      </c>
      <c r="B17" s="68"/>
      <c r="C17" s="68"/>
      <c r="D17" s="68"/>
      <c r="E17" s="68"/>
      <c r="F17" s="68"/>
      <c r="G17" s="68"/>
      <c r="H17" s="69">
        <v>15000</v>
      </c>
      <c r="I17" s="69"/>
      <c r="J17" s="70">
        <v>8000</v>
      </c>
      <c r="K17" s="70"/>
      <c r="L17" s="71" t="s">
        <v>31</v>
      </c>
      <c r="M17" s="71"/>
      <c r="N17" s="72" t="s">
        <v>71</v>
      </c>
      <c r="O17" s="72"/>
    </row>
    <row r="18" spans="1:15" ht="15" customHeight="1" x14ac:dyDescent="0.35">
      <c r="A18" s="73" t="s">
        <v>72</v>
      </c>
      <c r="B18" s="73"/>
      <c r="C18" s="73"/>
      <c r="D18" s="73"/>
      <c r="E18" s="73"/>
      <c r="F18" s="73"/>
      <c r="G18" s="73"/>
      <c r="H18" s="74">
        <v>20000</v>
      </c>
      <c r="I18" s="74"/>
      <c r="J18" s="70"/>
      <c r="K18" s="70"/>
      <c r="L18" s="75" t="s">
        <v>31</v>
      </c>
      <c r="M18" s="75"/>
      <c r="N18" s="76"/>
      <c r="O18" s="76"/>
    </row>
    <row r="19" spans="1:15" ht="32.25" customHeight="1" x14ac:dyDescent="0.35">
      <c r="A19" s="68" t="s">
        <v>73</v>
      </c>
      <c r="B19" s="68"/>
      <c r="C19" s="68"/>
      <c r="D19" s="68"/>
      <c r="E19" s="68"/>
      <c r="F19" s="68"/>
      <c r="G19" s="68"/>
      <c r="H19" s="69"/>
      <c r="I19" s="69"/>
      <c r="J19" s="70"/>
      <c r="K19" s="70"/>
      <c r="L19" s="71" t="s">
        <v>31</v>
      </c>
      <c r="M19" s="71"/>
      <c r="N19" s="72" t="s">
        <v>69</v>
      </c>
      <c r="O19" s="72"/>
    </row>
    <row r="20" spans="1:15" ht="15" customHeight="1" x14ac:dyDescent="0.35">
      <c r="A20" s="77" t="s">
        <v>74</v>
      </c>
      <c r="B20" s="77"/>
      <c r="C20" s="77"/>
      <c r="D20" s="77"/>
      <c r="E20" s="77"/>
      <c r="F20" s="77"/>
      <c r="G20" s="77"/>
      <c r="H20" s="78"/>
      <c r="I20" s="78"/>
      <c r="J20" s="78">
        <v>3000</v>
      </c>
      <c r="K20" s="78"/>
      <c r="L20" s="78" t="s">
        <v>31</v>
      </c>
      <c r="M20" s="78"/>
      <c r="N20" s="78" t="s">
        <v>75</v>
      </c>
      <c r="O20" s="78"/>
    </row>
    <row r="21" spans="1:15" ht="14.25" customHeight="1" x14ac:dyDescent="0.35">
      <c r="A21" s="79" t="s">
        <v>76</v>
      </c>
      <c r="B21" s="79"/>
      <c r="C21" s="79"/>
      <c r="D21" s="79"/>
      <c r="E21" s="79"/>
      <c r="F21" s="79"/>
      <c r="G21" s="79"/>
      <c r="H21" s="80">
        <f>SUM(H13:H20)</f>
        <v>265000</v>
      </c>
      <c r="I21" s="80"/>
      <c r="J21" s="80">
        <f>SUM(J13:J20)</f>
        <v>11000</v>
      </c>
      <c r="K21" s="80"/>
      <c r="L21" s="81" t="str">
        <f>IF(SUM(J13:J20)=0,"signed $0 of $100k floor","signed = "&amp;TEXT(SUM(J13:J20)/100000,"0%")&amp;" of floor")</f>
        <v>signed = 11% of floor</v>
      </c>
      <c r="M21" s="81"/>
      <c r="N21" s="81"/>
      <c r="O21" s="81"/>
    </row>
    <row r="22" spans="1:15" ht="19.5" customHeight="1" x14ac:dyDescent="0.35">
      <c r="A22" s="78"/>
      <c r="B22" s="78"/>
      <c r="C22" s="78"/>
      <c r="D22" s="78"/>
      <c r="E22" s="78"/>
      <c r="F22" s="78"/>
      <c r="G22" s="78"/>
      <c r="H22" s="78"/>
      <c r="I22" s="78"/>
      <c r="J22" s="78"/>
      <c r="K22" s="78"/>
      <c r="L22" s="78"/>
      <c r="M22" s="78"/>
      <c r="N22" s="78"/>
      <c r="O22" s="78"/>
    </row>
    <row r="23" spans="1:15" ht="15" customHeight="1" x14ac:dyDescent="0.35">
      <c r="A23" s="33" t="s">
        <v>77</v>
      </c>
    </row>
    <row r="24" spans="1:15" ht="15" customHeight="1" x14ac:dyDescent="0.35">
      <c r="A24" s="34" t="s">
        <v>49</v>
      </c>
      <c r="B24" s="34" t="s">
        <v>78</v>
      </c>
      <c r="C24" s="34" t="s">
        <v>79</v>
      </c>
      <c r="D24" s="34" t="s">
        <v>80</v>
      </c>
      <c r="E24" s="34" t="s">
        <v>81</v>
      </c>
      <c r="F24" s="34" t="s">
        <v>82</v>
      </c>
      <c r="G24" s="34" t="s">
        <v>83</v>
      </c>
      <c r="H24" s="34" t="s">
        <v>84</v>
      </c>
      <c r="I24" s="34" t="s">
        <v>85</v>
      </c>
      <c r="J24" s="34" t="s">
        <v>86</v>
      </c>
      <c r="K24" s="34" t="s">
        <v>87</v>
      </c>
      <c r="L24" s="34" t="s">
        <v>88</v>
      </c>
      <c r="M24" s="34" t="s">
        <v>89</v>
      </c>
      <c r="N24" s="34" t="s">
        <v>90</v>
      </c>
    </row>
    <row r="25" spans="1:15" ht="15" customHeight="1" x14ac:dyDescent="0.35">
      <c r="A25" s="35" t="s">
        <v>3</v>
      </c>
      <c r="B25" s="36" t="str">
        <f>IF('3. Weekly Run-Sheet'!B6="","",'3. Weekly Run-Sheet'!B6)</f>
        <v/>
      </c>
      <c r="C25" s="36" t="str">
        <f>IF('3. Weekly Run-Sheet'!B20="","",'3. Weekly Run-Sheet'!B20)</f>
        <v>Amber</v>
      </c>
      <c r="D25" s="36" t="str">
        <f>IF('3. Weekly Run-Sheet'!B34="","",'3. Weekly Run-Sheet'!B34)</f>
        <v>Amber</v>
      </c>
      <c r="E25" s="36" t="str">
        <f>IF('3. Weekly Run-Sheet'!B48="","",'3. Weekly Run-Sheet'!B48)</f>
        <v>Amber</v>
      </c>
      <c r="F25" s="36" t="str">
        <f>IF('3. Weekly Run-Sheet'!B62="","",'3. Weekly Run-Sheet'!B62)</f>
        <v>Amber</v>
      </c>
      <c r="G25" s="36" t="str">
        <f>IF('3. Weekly Run-Sheet'!B76="","",'3. Weekly Run-Sheet'!B76)</f>
        <v>Amber</v>
      </c>
      <c r="H25" s="36" t="str">
        <f>IF('3. Weekly Run-Sheet'!B90="","",'3. Weekly Run-Sheet'!B90)</f>
        <v>Amber</v>
      </c>
      <c r="I25" s="36" t="str">
        <f>IF('3. Weekly Run-Sheet'!B104="","",'3. Weekly Run-Sheet'!B104)</f>
        <v/>
      </c>
      <c r="J25" s="36" t="str">
        <f>IF('3. Weekly Run-Sheet'!B118="","",'3. Weekly Run-Sheet'!B118)</f>
        <v/>
      </c>
      <c r="K25" s="36" t="str">
        <f>IF('3. Weekly Run-Sheet'!B132="","",'3. Weekly Run-Sheet'!B132)</f>
        <v/>
      </c>
      <c r="L25" s="36" t="str">
        <f>IF('3. Weekly Run-Sheet'!B146="","",'3. Weekly Run-Sheet'!B146)</f>
        <v/>
      </c>
      <c r="M25" s="36" t="str">
        <f>IF('3. Weekly Run-Sheet'!B160="","",'3. Weekly Run-Sheet'!B160)</f>
        <v/>
      </c>
      <c r="N25" s="36" t="str">
        <f>IF('3. Weekly Run-Sheet'!B174="","",'3. Weekly Run-Sheet'!B174)</f>
        <v/>
      </c>
    </row>
    <row r="26" spans="1:15" ht="15" customHeight="1" x14ac:dyDescent="0.35">
      <c r="A26" s="37" t="s">
        <v>5</v>
      </c>
      <c r="B26" s="36" t="str">
        <f>IF('3. Weekly Run-Sheet'!B7="","",'3. Weekly Run-Sheet'!B7)</f>
        <v/>
      </c>
      <c r="C26" s="36" t="str">
        <f>IF('3. Weekly Run-Sheet'!B21="","",'3. Weekly Run-Sheet'!B21)</f>
        <v>Amber</v>
      </c>
      <c r="D26" s="36" t="str">
        <f>IF('3. Weekly Run-Sheet'!B35="","",'3. Weekly Run-Sheet'!B35)</f>
        <v>Amber</v>
      </c>
      <c r="E26" s="36" t="str">
        <f>IF('3. Weekly Run-Sheet'!B49="","",'3. Weekly Run-Sheet'!B49)</f>
        <v>Green</v>
      </c>
      <c r="F26" s="36" t="str">
        <f>IF('3. Weekly Run-Sheet'!B63="","",'3. Weekly Run-Sheet'!B63)</f>
        <v>Green</v>
      </c>
      <c r="G26" s="36" t="str">
        <f>IF('3. Weekly Run-Sheet'!B77="","",'3. Weekly Run-Sheet'!B77)</f>
        <v>Green</v>
      </c>
      <c r="H26" s="36" t="str">
        <f>IF('3. Weekly Run-Sheet'!B91="","",'3. Weekly Run-Sheet'!B91)</f>
        <v>Green</v>
      </c>
      <c r="I26" s="36" t="str">
        <f>IF('3. Weekly Run-Sheet'!B105="","",'3. Weekly Run-Sheet'!B105)</f>
        <v/>
      </c>
      <c r="J26" s="36" t="str">
        <f>IF('3. Weekly Run-Sheet'!B119="","",'3. Weekly Run-Sheet'!B119)</f>
        <v/>
      </c>
      <c r="K26" s="36" t="str">
        <f>IF('3. Weekly Run-Sheet'!B133="","",'3. Weekly Run-Sheet'!B133)</f>
        <v/>
      </c>
      <c r="L26" s="36" t="str">
        <f>IF('3. Weekly Run-Sheet'!B147="","",'3. Weekly Run-Sheet'!B147)</f>
        <v/>
      </c>
      <c r="M26" s="36" t="str">
        <f>IF('3. Weekly Run-Sheet'!B161="","",'3. Weekly Run-Sheet'!B161)</f>
        <v/>
      </c>
      <c r="N26" s="36" t="str">
        <f>IF('3. Weekly Run-Sheet'!B175="","",'3. Weekly Run-Sheet'!B175)</f>
        <v/>
      </c>
    </row>
    <row r="27" spans="1:15" ht="15" customHeight="1" x14ac:dyDescent="0.35">
      <c r="A27" s="38" t="s">
        <v>7</v>
      </c>
      <c r="B27" s="36" t="str">
        <f>IF('3. Weekly Run-Sheet'!B8="","",'3. Weekly Run-Sheet'!B8)</f>
        <v/>
      </c>
      <c r="C27" s="36" t="str">
        <f>IF('3. Weekly Run-Sheet'!B22="","",'3. Weekly Run-Sheet'!B22)</f>
        <v>Amber</v>
      </c>
      <c r="D27" s="36" t="str">
        <f>IF('3. Weekly Run-Sheet'!B36="","",'3. Weekly Run-Sheet'!B36)</f>
        <v>Amber</v>
      </c>
      <c r="E27" s="36" t="str">
        <f>IF('3. Weekly Run-Sheet'!B50="","",'3. Weekly Run-Sheet'!B50)</f>
        <v>Amber</v>
      </c>
      <c r="F27" s="36" t="str">
        <f>IF('3. Weekly Run-Sheet'!B64="","",'3. Weekly Run-Sheet'!B64)</f>
        <v>Amber</v>
      </c>
      <c r="G27" s="36" t="str">
        <f>IF('3. Weekly Run-Sheet'!B78="","",'3. Weekly Run-Sheet'!B78)</f>
        <v>Amber</v>
      </c>
      <c r="H27" s="36" t="str">
        <f>IF('3. Weekly Run-Sheet'!B92="","",'3. Weekly Run-Sheet'!B92)</f>
        <v>Amber</v>
      </c>
      <c r="I27" s="36" t="str">
        <f>IF('3. Weekly Run-Sheet'!B106="","",'3. Weekly Run-Sheet'!B106)</f>
        <v/>
      </c>
      <c r="J27" s="36" t="str">
        <f>IF('3. Weekly Run-Sheet'!B120="","",'3. Weekly Run-Sheet'!B120)</f>
        <v/>
      </c>
      <c r="K27" s="36" t="str">
        <f>IF('3. Weekly Run-Sheet'!B134="","",'3. Weekly Run-Sheet'!B134)</f>
        <v/>
      </c>
      <c r="L27" s="36" t="str">
        <f>IF('3. Weekly Run-Sheet'!B148="","",'3. Weekly Run-Sheet'!B148)</f>
        <v/>
      </c>
      <c r="M27" s="36" t="str">
        <f>IF('3. Weekly Run-Sheet'!B162="","",'3. Weekly Run-Sheet'!B162)</f>
        <v/>
      </c>
      <c r="N27" s="36" t="str">
        <f>IF('3. Weekly Run-Sheet'!B176="","",'3. Weekly Run-Sheet'!B176)</f>
        <v/>
      </c>
    </row>
    <row r="28" spans="1:15" ht="14.25" customHeight="1" x14ac:dyDescent="0.35">
      <c r="A28" s="39" t="s">
        <v>9</v>
      </c>
      <c r="B28" s="36" t="str">
        <f>IF('3. Weekly Run-Sheet'!B9="","",'3. Weekly Run-Sheet'!B9)</f>
        <v/>
      </c>
      <c r="C28" s="36" t="str">
        <f>IF('3. Weekly Run-Sheet'!B23="","",'3. Weekly Run-Sheet'!B23)</f>
        <v>Amber</v>
      </c>
      <c r="D28" s="36" t="str">
        <f>IF('3. Weekly Run-Sheet'!B37="","",'3. Weekly Run-Sheet'!B37)</f>
        <v>Amber</v>
      </c>
      <c r="E28" s="36" t="str">
        <f>IF('3. Weekly Run-Sheet'!B51="","",'3. Weekly Run-Sheet'!B51)</f>
        <v>Amber</v>
      </c>
      <c r="F28" s="36" t="str">
        <f>IF('3. Weekly Run-Sheet'!B65="","",'3. Weekly Run-Sheet'!B65)</f>
        <v>Green</v>
      </c>
      <c r="G28" s="36" t="str">
        <f>IF('3. Weekly Run-Sheet'!B79="","",'3. Weekly Run-Sheet'!B79)</f>
        <v>Green</v>
      </c>
      <c r="H28" s="36" t="str">
        <f>IF('3. Weekly Run-Sheet'!B93="","",'3. Weekly Run-Sheet'!B93)</f>
        <v>Green</v>
      </c>
      <c r="I28" s="36" t="str">
        <f>IF('3. Weekly Run-Sheet'!B107="","",'3. Weekly Run-Sheet'!B107)</f>
        <v/>
      </c>
      <c r="J28" s="36" t="str">
        <f>IF('3. Weekly Run-Sheet'!B121="","",'3. Weekly Run-Sheet'!B121)</f>
        <v/>
      </c>
      <c r="K28" s="36" t="str">
        <f>IF('3. Weekly Run-Sheet'!B135="","",'3. Weekly Run-Sheet'!B135)</f>
        <v/>
      </c>
      <c r="L28" s="36" t="str">
        <f>IF('3. Weekly Run-Sheet'!B149="","",'3. Weekly Run-Sheet'!B149)</f>
        <v/>
      </c>
      <c r="M28" s="36" t="str">
        <f>IF('3. Weekly Run-Sheet'!B163="","",'3. Weekly Run-Sheet'!B163)</f>
        <v/>
      </c>
      <c r="N28" s="36" t="str">
        <f>IF('3. Weekly Run-Sheet'!B177="","",'3. Weekly Run-Sheet'!B177)</f>
        <v/>
      </c>
    </row>
    <row r="29" spans="1:15" ht="19.5" customHeight="1" x14ac:dyDescent="0.35">
      <c r="A29" s="78"/>
      <c r="B29" s="78"/>
      <c r="C29" s="78"/>
      <c r="D29" s="78"/>
      <c r="E29" s="78"/>
      <c r="F29" s="78"/>
      <c r="G29" s="78"/>
      <c r="H29" s="78"/>
      <c r="I29" s="78"/>
      <c r="J29" s="78"/>
      <c r="K29" s="78"/>
      <c r="L29" s="78"/>
      <c r="M29" s="78"/>
      <c r="N29" s="78"/>
      <c r="O29" s="78"/>
    </row>
    <row r="30" spans="1:15" ht="15" customHeight="1" x14ac:dyDescent="0.35">
      <c r="A30" s="33" t="s">
        <v>91</v>
      </c>
    </row>
    <row r="31" spans="1:15" ht="15" customHeight="1" x14ac:dyDescent="0.35">
      <c r="A31" s="34" t="s">
        <v>92</v>
      </c>
      <c r="B31" s="34" t="s">
        <v>78</v>
      </c>
      <c r="C31" s="34" t="s">
        <v>79</v>
      </c>
      <c r="D31" s="34" t="s">
        <v>80</v>
      </c>
      <c r="E31" s="34" t="s">
        <v>81</v>
      </c>
      <c r="F31" s="34" t="s">
        <v>82</v>
      </c>
      <c r="G31" s="34" t="s">
        <v>83</v>
      </c>
      <c r="H31" s="34" t="s">
        <v>84</v>
      </c>
      <c r="I31" s="34" t="s">
        <v>85</v>
      </c>
      <c r="J31" s="34" t="s">
        <v>86</v>
      </c>
      <c r="K31" s="34" t="s">
        <v>87</v>
      </c>
      <c r="L31" s="34" t="s">
        <v>88</v>
      </c>
      <c r="M31" s="34" t="s">
        <v>89</v>
      </c>
      <c r="N31" s="34" t="s">
        <v>90</v>
      </c>
    </row>
    <row r="32" spans="1:15" ht="15" customHeight="1" x14ac:dyDescent="0.35">
      <c r="A32" s="40" t="s">
        <v>31</v>
      </c>
      <c r="B32" s="41" t="str">
        <f>IF('3. Weekly Run-Sheet'!E11="","",'3. Weekly Run-Sheet'!E11)</f>
        <v/>
      </c>
      <c r="C32" s="41" t="str">
        <f>IF('3. Weekly Run-Sheet'!E25="","",'3. Weekly Run-Sheet'!E25)</f>
        <v/>
      </c>
      <c r="D32" s="41" t="str">
        <f>IF('3. Weekly Run-Sheet'!E39="","",'3. Weekly Run-Sheet'!E39)</f>
        <v>Red</v>
      </c>
      <c r="E32" s="41" t="str">
        <f>IF('3. Weekly Run-Sheet'!E53="","",'3. Weekly Run-Sheet'!E53)</f>
        <v>Green</v>
      </c>
      <c r="F32" s="41" t="str">
        <f>IF('3. Weekly Run-Sheet'!E67="","",'3. Weekly Run-Sheet'!E67)</f>
        <v/>
      </c>
      <c r="G32" s="41" t="str">
        <f>IF('3. Weekly Run-Sheet'!E81="","",'3. Weekly Run-Sheet'!E81)</f>
        <v>Green</v>
      </c>
      <c r="H32" s="41" t="str">
        <f>IF('3. Weekly Run-Sheet'!E95="","",'3. Weekly Run-Sheet'!E95)</f>
        <v>Green</v>
      </c>
      <c r="I32" s="41" t="str">
        <f>IF('3. Weekly Run-Sheet'!E109="","",'3. Weekly Run-Sheet'!E109)</f>
        <v>Not Started</v>
      </c>
      <c r="J32" s="41" t="str">
        <f>IF('3. Weekly Run-Sheet'!E123="","",'3. Weekly Run-Sheet'!E123)</f>
        <v/>
      </c>
      <c r="K32" s="41" t="str">
        <f>IF('3. Weekly Run-Sheet'!E137="","",'3. Weekly Run-Sheet'!E137)</f>
        <v/>
      </c>
      <c r="L32" s="41" t="str">
        <f>IF('3. Weekly Run-Sheet'!E151="","",'3. Weekly Run-Sheet'!E151)</f>
        <v/>
      </c>
      <c r="M32" s="41" t="str">
        <f>IF('3. Weekly Run-Sheet'!E165="","",'3. Weekly Run-Sheet'!E165)</f>
        <v/>
      </c>
      <c r="N32" s="41" t="str">
        <f>IF('3. Weekly Run-Sheet'!E179="","",'3. Weekly Run-Sheet'!E179)</f>
        <v/>
      </c>
    </row>
    <row r="33" spans="1:14" ht="15" customHeight="1" x14ac:dyDescent="0.35">
      <c r="A33" s="42" t="s">
        <v>66</v>
      </c>
      <c r="B33" s="43" t="str">
        <f>IF('3. Weekly Run-Sheet'!E12="","",'3. Weekly Run-Sheet'!E12)</f>
        <v/>
      </c>
      <c r="C33" s="43" t="str">
        <f>IF('3. Weekly Run-Sheet'!E26="","",'3. Weekly Run-Sheet'!E26)</f>
        <v>Amber</v>
      </c>
      <c r="D33" s="43" t="str">
        <f>IF('3. Weekly Run-Sheet'!E40="","",'3. Weekly Run-Sheet'!E40)</f>
        <v>Green</v>
      </c>
      <c r="E33" s="43" t="str">
        <f>IF('3. Weekly Run-Sheet'!E54="","",'3. Weekly Run-Sheet'!E54)</f>
        <v>Green</v>
      </c>
      <c r="F33" s="43" t="str">
        <f>IF('3. Weekly Run-Sheet'!E68="","",'3. Weekly Run-Sheet'!E68)</f>
        <v>Green</v>
      </c>
      <c r="G33" s="43" t="str">
        <f>IF('3. Weekly Run-Sheet'!E82="","",'3. Weekly Run-Sheet'!E82)</f>
        <v>Green</v>
      </c>
      <c r="H33" s="43" t="str">
        <f>IF('3. Weekly Run-Sheet'!E96="","",'3. Weekly Run-Sheet'!E96)</f>
        <v>Not Started</v>
      </c>
      <c r="I33" s="43" t="str">
        <f>IF('3. Weekly Run-Sheet'!E110="","",'3. Weekly Run-Sheet'!E110)</f>
        <v>Not Started</v>
      </c>
      <c r="J33" s="43" t="str">
        <f>IF('3. Weekly Run-Sheet'!E124="","",'3. Weekly Run-Sheet'!E124)</f>
        <v/>
      </c>
      <c r="K33" s="43" t="str">
        <f>IF('3. Weekly Run-Sheet'!E138="","",'3. Weekly Run-Sheet'!E138)</f>
        <v/>
      </c>
      <c r="L33" s="43" t="str">
        <f>IF('3. Weekly Run-Sheet'!E152="","",'3. Weekly Run-Sheet'!E152)</f>
        <v/>
      </c>
      <c r="M33" s="43" t="str">
        <f>IF('3. Weekly Run-Sheet'!E166="","",'3. Weekly Run-Sheet'!E166)</f>
        <v/>
      </c>
      <c r="N33" s="43" t="str">
        <f>IF('3. Weekly Run-Sheet'!E180="","",'3. Weekly Run-Sheet'!E180)</f>
        <v/>
      </c>
    </row>
    <row r="34" spans="1:14" ht="15" customHeight="1" x14ac:dyDescent="0.35">
      <c r="A34" s="40" t="s">
        <v>63</v>
      </c>
      <c r="B34" s="41" t="str">
        <f>IF('3. Weekly Run-Sheet'!E13="","",'3. Weekly Run-Sheet'!E13)</f>
        <v/>
      </c>
      <c r="C34" s="41" t="str">
        <f>IF('3. Weekly Run-Sheet'!E27="","",'3. Weekly Run-Sheet'!E27)</f>
        <v>Amber</v>
      </c>
      <c r="D34" s="41" t="str">
        <f>IF('3. Weekly Run-Sheet'!E41="","",'3. Weekly Run-Sheet'!E41)</f>
        <v>Amber</v>
      </c>
      <c r="E34" s="41" t="str">
        <f>IF('3. Weekly Run-Sheet'!E55="","",'3. Weekly Run-Sheet'!E55)</f>
        <v>Green</v>
      </c>
      <c r="F34" s="41" t="str">
        <f>IF('3. Weekly Run-Sheet'!E69="","",'3. Weekly Run-Sheet'!E69)</f>
        <v>Green</v>
      </c>
      <c r="G34" s="41" t="str">
        <f>IF('3. Weekly Run-Sheet'!E83="","",'3. Weekly Run-Sheet'!E83)</f>
        <v>Green</v>
      </c>
      <c r="H34" s="41" t="str">
        <f>IF('3. Weekly Run-Sheet'!E97="","",'3. Weekly Run-Sheet'!E97)</f>
        <v>Green</v>
      </c>
      <c r="I34" s="41" t="str">
        <f>IF('3. Weekly Run-Sheet'!E111="","",'3. Weekly Run-Sheet'!E111)</f>
        <v>Green</v>
      </c>
      <c r="J34" s="41" t="str">
        <f>IF('3. Weekly Run-Sheet'!E125="","",'3. Weekly Run-Sheet'!E125)</f>
        <v/>
      </c>
      <c r="K34" s="41" t="str">
        <f>IF('3. Weekly Run-Sheet'!E139="","",'3. Weekly Run-Sheet'!E139)</f>
        <v/>
      </c>
      <c r="L34" s="41" t="str">
        <f>IF('3. Weekly Run-Sheet'!E153="","",'3. Weekly Run-Sheet'!E153)</f>
        <v/>
      </c>
      <c r="M34" s="41" t="str">
        <f>IF('3. Weekly Run-Sheet'!E167="","",'3. Weekly Run-Sheet'!E167)</f>
        <v/>
      </c>
      <c r="N34" s="41" t="str">
        <f>IF('3. Weekly Run-Sheet'!E181="","",'3. Weekly Run-Sheet'!E181)</f>
        <v/>
      </c>
    </row>
    <row r="35" spans="1:14" ht="15" customHeight="1" x14ac:dyDescent="0.35">
      <c r="A35" s="42" t="s">
        <v>33</v>
      </c>
      <c r="B35" s="43" t="str">
        <f>IF('3. Weekly Run-Sheet'!E14="","",'3. Weekly Run-Sheet'!E14)</f>
        <v/>
      </c>
      <c r="C35" s="43" t="str">
        <f>IF('3. Weekly Run-Sheet'!E28="","",'3. Weekly Run-Sheet'!E28)</f>
        <v>Green</v>
      </c>
      <c r="D35" s="43" t="str">
        <f>IF('3. Weekly Run-Sheet'!E42="","",'3. Weekly Run-Sheet'!E42)</f>
        <v>Green</v>
      </c>
      <c r="E35" s="43" t="str">
        <f>IF('3. Weekly Run-Sheet'!E56="","",'3. Weekly Run-Sheet'!E56)</f>
        <v>Green</v>
      </c>
      <c r="F35" s="43" t="str">
        <f>IF('3. Weekly Run-Sheet'!E70="","",'3. Weekly Run-Sheet'!E70)</f>
        <v>Green</v>
      </c>
      <c r="G35" s="43" t="str">
        <f>IF('3. Weekly Run-Sheet'!E84="","",'3. Weekly Run-Sheet'!E84)</f>
        <v>Green</v>
      </c>
      <c r="H35" s="43" t="str">
        <f>IF('3. Weekly Run-Sheet'!E98="","",'3. Weekly Run-Sheet'!E98)</f>
        <v>Green</v>
      </c>
      <c r="I35" s="43" t="str">
        <f>IF('3. Weekly Run-Sheet'!E112="","",'3. Weekly Run-Sheet'!E112)</f>
        <v>Green</v>
      </c>
      <c r="J35" s="43" t="str">
        <f>IF('3. Weekly Run-Sheet'!E126="","",'3. Weekly Run-Sheet'!E126)</f>
        <v/>
      </c>
      <c r="K35" s="43" t="str">
        <f>IF('3. Weekly Run-Sheet'!E140="","",'3. Weekly Run-Sheet'!E140)</f>
        <v/>
      </c>
      <c r="L35" s="43" t="str">
        <f>IF('3. Weekly Run-Sheet'!E154="","",'3. Weekly Run-Sheet'!E154)</f>
        <v/>
      </c>
      <c r="M35" s="43" t="str">
        <f>IF('3. Weekly Run-Sheet'!E168="","",'3. Weekly Run-Sheet'!E168)</f>
        <v/>
      </c>
      <c r="N35" s="43" t="str">
        <f>IF('3. Weekly Run-Sheet'!E182="","",'3. Weekly Run-Sheet'!E182)</f>
        <v/>
      </c>
    </row>
    <row r="36" spans="1:14" ht="14.25" customHeight="1" x14ac:dyDescent="0.35">
      <c r="A36" s="40" t="s">
        <v>93</v>
      </c>
      <c r="B36" s="41" t="str">
        <f>IF('3. Weekly Run-Sheet'!E15="","",'3. Weekly Run-Sheet'!E15)</f>
        <v/>
      </c>
      <c r="C36" s="41" t="str">
        <f>IF('3. Weekly Run-Sheet'!E29="","",'3. Weekly Run-Sheet'!E29)</f>
        <v>Amber</v>
      </c>
      <c r="D36" s="41" t="str">
        <f>IF('3. Weekly Run-Sheet'!E43="","",'3. Weekly Run-Sheet'!E43)</f>
        <v>Amber</v>
      </c>
      <c r="E36" s="41" t="str">
        <f>IF('3. Weekly Run-Sheet'!E57="","",'3. Weekly Run-Sheet'!E57)</f>
        <v>Green</v>
      </c>
      <c r="F36" s="41" t="str">
        <f>IF('3. Weekly Run-Sheet'!E71="","",'3. Weekly Run-Sheet'!E71)</f>
        <v>Green</v>
      </c>
      <c r="G36" s="41" t="str">
        <f>IF('3. Weekly Run-Sheet'!E85="","",'3. Weekly Run-Sheet'!E85)</f>
        <v>Green</v>
      </c>
      <c r="H36" s="41" t="str">
        <f>IF('3. Weekly Run-Sheet'!E99="","",'3. Weekly Run-Sheet'!E99)</f>
        <v>Green</v>
      </c>
      <c r="I36" s="41" t="str">
        <f>IF('3. Weekly Run-Sheet'!E113="","",'3. Weekly Run-Sheet'!E113)</f>
        <v>Not Started</v>
      </c>
      <c r="J36" s="41" t="str">
        <f>IF('3. Weekly Run-Sheet'!E127="","",'3. Weekly Run-Sheet'!E127)</f>
        <v/>
      </c>
      <c r="K36" s="41" t="str">
        <f>IF('3. Weekly Run-Sheet'!E141="","",'3. Weekly Run-Sheet'!E141)</f>
        <v/>
      </c>
      <c r="L36" s="41" t="str">
        <f>IF('3. Weekly Run-Sheet'!E155="","",'3. Weekly Run-Sheet'!E155)</f>
        <v/>
      </c>
      <c r="M36" s="41" t="str">
        <f>IF('3. Weekly Run-Sheet'!E169="","",'3. Weekly Run-Sheet'!E169)</f>
        <v/>
      </c>
      <c r="N36" s="41" t="str">
        <f>IF('3. Weekly Run-Sheet'!E183="","",'3. Weekly Run-Sheet'!E183)</f>
        <v/>
      </c>
    </row>
  </sheetData>
  <mergeCells count="65">
    <mergeCell ref="A29:O29"/>
    <mergeCell ref="A21:G21"/>
    <mergeCell ref="H21:I21"/>
    <mergeCell ref="J21:K21"/>
    <mergeCell ref="L21:O21"/>
    <mergeCell ref="A22:O22"/>
    <mergeCell ref="A20:G20"/>
    <mergeCell ref="H20:I20"/>
    <mergeCell ref="J20:K20"/>
    <mergeCell ref="L20:M20"/>
    <mergeCell ref="N20:O20"/>
    <mergeCell ref="A19:G19"/>
    <mergeCell ref="H19:I19"/>
    <mergeCell ref="J19:K19"/>
    <mergeCell ref="L19:M19"/>
    <mergeCell ref="N19:O19"/>
    <mergeCell ref="A18:G18"/>
    <mergeCell ref="H18:I18"/>
    <mergeCell ref="J18:K18"/>
    <mergeCell ref="L18:M18"/>
    <mergeCell ref="N18:O18"/>
    <mergeCell ref="A17:G17"/>
    <mergeCell ref="H17:I17"/>
    <mergeCell ref="J17:K17"/>
    <mergeCell ref="L17:M17"/>
    <mergeCell ref="N17:O17"/>
    <mergeCell ref="A16:G16"/>
    <mergeCell ref="H16:I16"/>
    <mergeCell ref="J16:K16"/>
    <mergeCell ref="L16:M16"/>
    <mergeCell ref="N16:O16"/>
    <mergeCell ref="A15:G15"/>
    <mergeCell ref="H15:I15"/>
    <mergeCell ref="J15:K15"/>
    <mergeCell ref="L15:M15"/>
    <mergeCell ref="N15:O15"/>
    <mergeCell ref="A14:G14"/>
    <mergeCell ref="H14:I14"/>
    <mergeCell ref="J14:K14"/>
    <mergeCell ref="L14:M14"/>
    <mergeCell ref="N14:O14"/>
    <mergeCell ref="A13:G13"/>
    <mergeCell ref="H13:I13"/>
    <mergeCell ref="J13:K13"/>
    <mergeCell ref="L13:M13"/>
    <mergeCell ref="N13:O13"/>
    <mergeCell ref="A9:C9"/>
    <mergeCell ref="E9:O9"/>
    <mergeCell ref="A11:O11"/>
    <mergeCell ref="A12:G12"/>
    <mergeCell ref="H12:I12"/>
    <mergeCell ref="J12:K12"/>
    <mergeCell ref="L12:M12"/>
    <mergeCell ref="N12:O12"/>
    <mergeCell ref="A6:C6"/>
    <mergeCell ref="E6:O6"/>
    <mergeCell ref="A7:C7"/>
    <mergeCell ref="E7:O7"/>
    <mergeCell ref="A8:C8"/>
    <mergeCell ref="E8:O8"/>
    <mergeCell ref="A1:O1"/>
    <mergeCell ref="A2:O2"/>
    <mergeCell ref="A4:O4"/>
    <mergeCell ref="A5:C5"/>
    <mergeCell ref="E5:O5"/>
  </mergeCells>
  <conditionalFormatting sqref="D6:D9">
    <cfRule type="cellIs" dxfId="226" priority="2" operator="equal">
      <formula>"Green"</formula>
    </cfRule>
    <cfRule type="cellIs" dxfId="225" priority="3" operator="equal">
      <formula>"Amber"</formula>
    </cfRule>
    <cfRule type="cellIs" dxfId="224" priority="4" operator="equal">
      <formula>"Red"</formula>
    </cfRule>
    <cfRule type="cellIs" dxfId="223" priority="5" operator="equal">
      <formula>"Done"</formula>
    </cfRule>
    <cfRule type="cellIs" dxfId="222" priority="6" operator="equal">
      <formula>"Not Started"</formula>
    </cfRule>
  </conditionalFormatting>
  <conditionalFormatting sqref="B24:N27">
    <cfRule type="cellIs" dxfId="221" priority="7" operator="equal">
      <formula>"Green"</formula>
    </cfRule>
    <cfRule type="cellIs" dxfId="220" priority="8" operator="equal">
      <formula>"Amber"</formula>
    </cfRule>
    <cfRule type="cellIs" dxfId="219" priority="9" operator="equal">
      <formula>"Red"</formula>
    </cfRule>
    <cfRule type="cellIs" dxfId="218" priority="10" operator="equal">
      <formula>"Done"</formula>
    </cfRule>
    <cfRule type="cellIs" dxfId="217" priority="11" operator="equal">
      <formula>"Not Started"</formula>
    </cfRule>
  </conditionalFormatting>
  <conditionalFormatting sqref="B31:N35">
    <cfRule type="cellIs" dxfId="216" priority="12" operator="equal">
      <formula>"Green"</formula>
    </cfRule>
    <cfRule type="cellIs" dxfId="215" priority="13" operator="equal">
      <formula>"Amber"</formula>
    </cfRule>
    <cfRule type="cellIs" dxfId="214" priority="14" operator="equal">
      <formula>"Red"</formula>
    </cfRule>
    <cfRule type="cellIs" dxfId="213" priority="15" operator="equal">
      <formula>"Done"</formula>
    </cfRule>
    <cfRule type="cellIs" dxfId="212" priority="16" operator="equal">
      <formula>"Not Started"</formula>
    </cfRule>
  </conditionalFormatting>
  <dataValidations count="1">
    <dataValidation type="list" allowBlank="1" sqref="D6:D9">
      <formula1>"Green,Amber,Red,Done,Not Started"</formula1>
      <formula2>0</formula2>
    </dataValidation>
  </dataValidation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84"/>
  <sheetViews>
    <sheetView showGridLines="0" tabSelected="1" zoomScaleNormal="100" workbookViewId="0">
      <pane ySplit="3" topLeftCell="A107" activePane="bottomLeft" state="frozen"/>
      <selection pane="bottomLeft" activeCell="G113" sqref="G113"/>
    </sheetView>
  </sheetViews>
  <sheetFormatPr defaultColWidth="8.6328125" defaultRowHeight="14.5" x14ac:dyDescent="0.35"/>
  <cols>
    <col min="1" max="1" width="19" style="15" customWidth="1"/>
    <col min="2" max="2" width="13" style="15" customWidth="1"/>
    <col min="3" max="3" width="20" style="15" customWidth="1"/>
    <col min="4" max="4" width="18" style="15" customWidth="1"/>
    <col min="5" max="5" width="11" style="15" customWidth="1"/>
    <col min="6" max="6" width="22" style="15" customWidth="1"/>
    <col min="7" max="7" width="24" style="15" customWidth="1"/>
    <col min="8" max="8" width="18" style="15" customWidth="1"/>
  </cols>
  <sheetData>
    <row r="1" spans="1:8" ht="25.5" customHeight="1" x14ac:dyDescent="0.35">
      <c r="A1" s="14" t="s">
        <v>94</v>
      </c>
      <c r="B1" s="14"/>
      <c r="C1" s="14"/>
      <c r="D1" s="14"/>
      <c r="E1" s="14"/>
      <c r="F1" s="14"/>
      <c r="G1" s="14"/>
      <c r="H1" s="14"/>
    </row>
    <row r="2" spans="1:8" ht="18" customHeight="1" x14ac:dyDescent="0.35">
      <c r="A2" s="13" t="s">
        <v>95</v>
      </c>
      <c r="B2" s="13"/>
      <c r="C2" s="13"/>
      <c r="D2" s="13"/>
      <c r="E2" s="13"/>
      <c r="F2" s="13"/>
      <c r="G2" s="13"/>
      <c r="H2" s="13"/>
    </row>
    <row r="4" spans="1:8" ht="19.5" customHeight="1" x14ac:dyDescent="0.35">
      <c r="A4" s="82" t="s">
        <v>96</v>
      </c>
      <c r="B4" s="82"/>
      <c r="C4" s="82"/>
      <c r="D4" s="82"/>
      <c r="E4" s="82"/>
      <c r="F4" s="82"/>
      <c r="G4" s="82"/>
      <c r="H4" s="82"/>
    </row>
    <row r="5" spans="1:8" ht="18" customHeight="1" x14ac:dyDescent="0.35">
      <c r="A5" s="44" t="s">
        <v>49</v>
      </c>
      <c r="B5" s="44" t="s">
        <v>50</v>
      </c>
      <c r="C5" s="83" t="s">
        <v>97</v>
      </c>
      <c r="D5" s="83"/>
      <c r="E5" s="83" t="s">
        <v>98</v>
      </c>
      <c r="F5" s="83"/>
      <c r="G5" s="83" t="s">
        <v>99</v>
      </c>
      <c r="H5" s="83"/>
    </row>
    <row r="6" spans="1:8" ht="25.5" customHeight="1" x14ac:dyDescent="0.35">
      <c r="A6" s="35" t="s">
        <v>3</v>
      </c>
      <c r="B6" s="45"/>
      <c r="C6" s="84"/>
      <c r="D6" s="84"/>
      <c r="E6" s="84"/>
      <c r="F6" s="84"/>
      <c r="G6" s="85" t="s">
        <v>100</v>
      </c>
      <c r="H6" s="85"/>
    </row>
    <row r="7" spans="1:8" ht="25.5" customHeight="1" x14ac:dyDescent="0.35">
      <c r="A7" s="37" t="s">
        <v>5</v>
      </c>
      <c r="B7" s="45"/>
      <c r="C7" s="84"/>
      <c r="D7" s="84"/>
      <c r="E7" s="84"/>
      <c r="F7" s="84"/>
      <c r="G7" s="85" t="s">
        <v>101</v>
      </c>
      <c r="H7" s="85"/>
    </row>
    <row r="8" spans="1:8" ht="25.5" customHeight="1" x14ac:dyDescent="0.35">
      <c r="A8" s="38" t="s">
        <v>7</v>
      </c>
      <c r="B8" s="45"/>
      <c r="C8" s="84"/>
      <c r="D8" s="84"/>
      <c r="E8" s="84"/>
      <c r="F8" s="84"/>
      <c r="G8" s="85" t="s">
        <v>102</v>
      </c>
      <c r="H8" s="85"/>
    </row>
    <row r="9" spans="1:8" ht="25.5" customHeight="1" x14ac:dyDescent="0.35">
      <c r="A9" s="39" t="s">
        <v>9</v>
      </c>
      <c r="B9" s="45"/>
      <c r="C9" s="84"/>
      <c r="D9" s="84"/>
      <c r="E9" s="84"/>
      <c r="F9" s="84"/>
      <c r="G9" s="85" t="s">
        <v>103</v>
      </c>
      <c r="H9" s="85"/>
    </row>
    <row r="10" spans="1:8" ht="19.5" customHeight="1" x14ac:dyDescent="0.35">
      <c r="A10" s="34" t="s">
        <v>104</v>
      </c>
      <c r="B10" s="34" t="s">
        <v>105</v>
      </c>
      <c r="C10" s="34" t="s">
        <v>106</v>
      </c>
      <c r="D10" s="34" t="s">
        <v>107</v>
      </c>
      <c r="E10" s="34" t="s">
        <v>50</v>
      </c>
      <c r="F10" s="34" t="s">
        <v>108</v>
      </c>
      <c r="G10" s="34" t="s">
        <v>109</v>
      </c>
      <c r="H10" s="34" t="s">
        <v>110</v>
      </c>
    </row>
    <row r="11" spans="1:8" ht="31.5" customHeight="1" x14ac:dyDescent="0.35">
      <c r="A11" s="40" t="s">
        <v>111</v>
      </c>
      <c r="B11" s="46" t="s">
        <v>5</v>
      </c>
      <c r="C11" s="47"/>
      <c r="D11" s="47"/>
      <c r="E11" s="48"/>
      <c r="F11" s="47"/>
      <c r="G11" s="47"/>
      <c r="H11" s="47"/>
    </row>
    <row r="12" spans="1:8" ht="31.5" customHeight="1" x14ac:dyDescent="0.35">
      <c r="A12" s="42" t="s">
        <v>112</v>
      </c>
      <c r="B12" s="49" t="s">
        <v>7</v>
      </c>
      <c r="C12" s="50"/>
      <c r="D12" s="50"/>
      <c r="E12" s="51"/>
      <c r="F12" s="50"/>
      <c r="G12" s="50"/>
      <c r="H12" s="50"/>
    </row>
    <row r="13" spans="1:8" ht="31.5" customHeight="1" x14ac:dyDescent="0.35">
      <c r="A13" s="40" t="s">
        <v>113</v>
      </c>
      <c r="B13" s="46" t="s">
        <v>3</v>
      </c>
      <c r="C13" s="47"/>
      <c r="D13" s="47"/>
      <c r="E13" s="48"/>
      <c r="F13" s="47"/>
      <c r="G13" s="47"/>
      <c r="H13" s="47"/>
    </row>
    <row r="14" spans="1:8" ht="31.5" customHeight="1" x14ac:dyDescent="0.35">
      <c r="A14" s="42" t="s">
        <v>114</v>
      </c>
      <c r="B14" s="49" t="s">
        <v>9</v>
      </c>
      <c r="C14" s="50"/>
      <c r="D14" s="50"/>
      <c r="E14" s="51"/>
      <c r="F14" s="50"/>
      <c r="G14" s="50"/>
      <c r="H14" s="50"/>
    </row>
    <row r="15" spans="1:8" ht="31.5" customHeight="1" x14ac:dyDescent="0.35">
      <c r="A15" s="40" t="s">
        <v>115</v>
      </c>
      <c r="B15" s="46" t="s">
        <v>9</v>
      </c>
      <c r="C15" s="47"/>
      <c r="D15" s="47"/>
      <c r="E15" s="48"/>
      <c r="F15" s="47"/>
      <c r="G15" s="47"/>
      <c r="H15" s="47"/>
    </row>
    <row r="16" spans="1:8" ht="21.75" customHeight="1" x14ac:dyDescent="0.35">
      <c r="A16" s="86" t="s">
        <v>116</v>
      </c>
      <c r="B16" s="86"/>
      <c r="C16" s="86"/>
      <c r="D16" s="86"/>
      <c r="E16" s="86"/>
      <c r="F16" s="86"/>
      <c r="G16" s="86"/>
      <c r="H16" s="86"/>
    </row>
    <row r="18" spans="1:8" ht="19.5" customHeight="1" x14ac:dyDescent="0.35">
      <c r="A18" s="82" t="s">
        <v>117</v>
      </c>
      <c r="B18" s="82"/>
      <c r="C18" s="82"/>
      <c r="D18" s="82"/>
      <c r="E18" s="82"/>
      <c r="F18" s="82"/>
      <c r="G18" s="82"/>
      <c r="H18" s="82"/>
    </row>
    <row r="19" spans="1:8" ht="18" customHeight="1" x14ac:dyDescent="0.35">
      <c r="A19" s="44" t="s">
        <v>49</v>
      </c>
      <c r="B19" s="44" t="s">
        <v>50</v>
      </c>
      <c r="C19" s="83" t="s">
        <v>97</v>
      </c>
      <c r="D19" s="83"/>
      <c r="E19" s="83" t="s">
        <v>98</v>
      </c>
      <c r="F19" s="83"/>
      <c r="G19" s="83" t="s">
        <v>99</v>
      </c>
      <c r="H19" s="83"/>
    </row>
    <row r="20" spans="1:8" ht="25.5" customHeight="1" x14ac:dyDescent="0.35">
      <c r="A20" s="35" t="s">
        <v>3</v>
      </c>
      <c r="B20" s="28" t="s">
        <v>38</v>
      </c>
      <c r="C20" s="84" t="s">
        <v>118</v>
      </c>
      <c r="D20" s="84"/>
      <c r="E20" s="84" t="s">
        <v>119</v>
      </c>
      <c r="F20" s="84"/>
      <c r="G20" s="85" t="s">
        <v>100</v>
      </c>
      <c r="H20" s="85"/>
    </row>
    <row r="21" spans="1:8" ht="25.5" customHeight="1" x14ac:dyDescent="0.35">
      <c r="A21" s="37" t="s">
        <v>5</v>
      </c>
      <c r="B21" s="28" t="s">
        <v>38</v>
      </c>
      <c r="C21" s="84" t="s">
        <v>120</v>
      </c>
      <c r="D21" s="84"/>
      <c r="E21" s="84" t="s">
        <v>121</v>
      </c>
      <c r="F21" s="84"/>
      <c r="G21" s="85" t="s">
        <v>101</v>
      </c>
      <c r="H21" s="85"/>
    </row>
    <row r="22" spans="1:8" ht="25.5" customHeight="1" x14ac:dyDescent="0.35">
      <c r="A22" s="38" t="s">
        <v>7</v>
      </c>
      <c r="B22" s="28" t="s">
        <v>38</v>
      </c>
      <c r="C22" s="84" t="s">
        <v>122</v>
      </c>
      <c r="D22" s="84"/>
      <c r="E22" s="84" t="s">
        <v>123</v>
      </c>
      <c r="F22" s="84"/>
      <c r="G22" s="85" t="s">
        <v>102</v>
      </c>
      <c r="H22" s="85"/>
    </row>
    <row r="23" spans="1:8" ht="25.5" customHeight="1" x14ac:dyDescent="0.35">
      <c r="A23" s="39" t="s">
        <v>9</v>
      </c>
      <c r="B23" s="28" t="s">
        <v>38</v>
      </c>
      <c r="C23" s="84" t="s">
        <v>124</v>
      </c>
      <c r="D23" s="84"/>
      <c r="E23" s="84" t="s">
        <v>125</v>
      </c>
      <c r="F23" s="84"/>
      <c r="G23" s="85" t="s">
        <v>103</v>
      </c>
      <c r="H23" s="85"/>
    </row>
    <row r="24" spans="1:8" ht="19.5" customHeight="1" x14ac:dyDescent="0.35">
      <c r="A24" s="34" t="s">
        <v>104</v>
      </c>
      <c r="B24" s="34" t="s">
        <v>105</v>
      </c>
      <c r="C24" s="34" t="s">
        <v>106</v>
      </c>
      <c r="D24" s="34" t="s">
        <v>107</v>
      </c>
      <c r="E24" s="34" t="s">
        <v>50</v>
      </c>
      <c r="F24" s="34" t="s">
        <v>108</v>
      </c>
      <c r="G24" s="34" t="s">
        <v>109</v>
      </c>
      <c r="H24" s="34" t="s">
        <v>110</v>
      </c>
    </row>
    <row r="25" spans="1:8" ht="31.5" customHeight="1" x14ac:dyDescent="0.35">
      <c r="A25" s="40" t="s">
        <v>111</v>
      </c>
      <c r="B25" s="46" t="s">
        <v>5</v>
      </c>
      <c r="C25" s="47"/>
      <c r="D25" s="47"/>
      <c r="E25" s="48"/>
      <c r="F25" s="47"/>
      <c r="G25" s="47"/>
      <c r="H25" s="47"/>
    </row>
    <row r="26" spans="1:8" ht="31.5" customHeight="1" x14ac:dyDescent="0.35">
      <c r="A26" s="42" t="s">
        <v>112</v>
      </c>
      <c r="B26" s="49" t="s">
        <v>7</v>
      </c>
      <c r="C26" s="50" t="s">
        <v>126</v>
      </c>
      <c r="D26" s="50" t="s">
        <v>127</v>
      </c>
      <c r="E26" s="51" t="s">
        <v>38</v>
      </c>
      <c r="F26" s="50" t="s">
        <v>128</v>
      </c>
      <c r="G26" s="50" t="s">
        <v>129</v>
      </c>
      <c r="H26" s="50" t="s">
        <v>130</v>
      </c>
    </row>
    <row r="27" spans="1:8" ht="31.5" customHeight="1" x14ac:dyDescent="0.35">
      <c r="A27" s="40" t="s">
        <v>113</v>
      </c>
      <c r="B27" s="46" t="s">
        <v>3</v>
      </c>
      <c r="C27" s="47" t="s">
        <v>131</v>
      </c>
      <c r="D27" s="47" t="s">
        <v>132</v>
      </c>
      <c r="E27" s="48" t="s">
        <v>38</v>
      </c>
      <c r="F27" s="47" t="s">
        <v>133</v>
      </c>
      <c r="G27" s="47" t="s">
        <v>134</v>
      </c>
      <c r="H27" s="47" t="s">
        <v>135</v>
      </c>
    </row>
    <row r="28" spans="1:8" ht="31.5" customHeight="1" x14ac:dyDescent="0.35">
      <c r="A28" s="42" t="s">
        <v>114</v>
      </c>
      <c r="B28" s="49" t="s">
        <v>9</v>
      </c>
      <c r="C28" s="50" t="s">
        <v>136</v>
      </c>
      <c r="D28" s="50" t="s">
        <v>137</v>
      </c>
      <c r="E28" s="51" t="s">
        <v>36</v>
      </c>
      <c r="F28" s="50" t="s">
        <v>138</v>
      </c>
      <c r="G28" s="50" t="s">
        <v>139</v>
      </c>
      <c r="H28" s="50" t="s">
        <v>140</v>
      </c>
    </row>
    <row r="29" spans="1:8" ht="31.5" customHeight="1" x14ac:dyDescent="0.35">
      <c r="A29" s="40" t="s">
        <v>115</v>
      </c>
      <c r="B29" s="46" t="s">
        <v>9</v>
      </c>
      <c r="C29" s="47" t="s">
        <v>141</v>
      </c>
      <c r="D29" s="47" t="s">
        <v>142</v>
      </c>
      <c r="E29" s="48" t="s">
        <v>38</v>
      </c>
      <c r="F29" s="47" t="s">
        <v>143</v>
      </c>
      <c r="G29" s="47" t="s">
        <v>144</v>
      </c>
      <c r="H29" s="47" t="s">
        <v>145</v>
      </c>
    </row>
    <row r="30" spans="1:8" ht="21.75" customHeight="1" x14ac:dyDescent="0.35">
      <c r="A30" s="86" t="s">
        <v>116</v>
      </c>
      <c r="B30" s="86"/>
      <c r="C30" s="86"/>
      <c r="D30" s="86"/>
      <c r="E30" s="86"/>
      <c r="F30" s="86"/>
      <c r="G30" s="86"/>
      <c r="H30" s="86"/>
    </row>
    <row r="32" spans="1:8" ht="19.5" customHeight="1" x14ac:dyDescent="0.35">
      <c r="A32" s="82" t="s">
        <v>146</v>
      </c>
      <c r="B32" s="82"/>
      <c r="C32" s="82"/>
      <c r="D32" s="82"/>
      <c r="E32" s="82"/>
      <c r="F32" s="82"/>
      <c r="G32" s="82"/>
      <c r="H32" s="82"/>
    </row>
    <row r="33" spans="1:8" ht="18" customHeight="1" x14ac:dyDescent="0.35">
      <c r="A33" s="44" t="s">
        <v>49</v>
      </c>
      <c r="B33" s="44" t="s">
        <v>50</v>
      </c>
      <c r="C33" s="83" t="s">
        <v>97</v>
      </c>
      <c r="D33" s="83"/>
      <c r="E33" s="83" t="s">
        <v>98</v>
      </c>
      <c r="F33" s="83"/>
      <c r="G33" s="83" t="s">
        <v>99</v>
      </c>
      <c r="H33" s="83"/>
    </row>
    <row r="34" spans="1:8" ht="25.5" customHeight="1" x14ac:dyDescent="0.35">
      <c r="A34" s="35" t="s">
        <v>3</v>
      </c>
      <c r="B34" s="28" t="s">
        <v>38</v>
      </c>
      <c r="C34" s="84" t="s">
        <v>147</v>
      </c>
      <c r="D34" s="84"/>
      <c r="E34" s="84" t="s">
        <v>148</v>
      </c>
      <c r="F34" s="84"/>
      <c r="G34" s="85" t="s">
        <v>100</v>
      </c>
      <c r="H34" s="85"/>
    </row>
    <row r="35" spans="1:8" ht="25.5" customHeight="1" x14ac:dyDescent="0.35">
      <c r="A35" s="37" t="s">
        <v>5</v>
      </c>
      <c r="B35" s="28" t="s">
        <v>38</v>
      </c>
      <c r="C35" s="84" t="s">
        <v>149</v>
      </c>
      <c r="D35" s="84"/>
      <c r="E35" s="84" t="s">
        <v>150</v>
      </c>
      <c r="F35" s="84"/>
      <c r="G35" s="85" t="s">
        <v>101</v>
      </c>
      <c r="H35" s="85"/>
    </row>
    <row r="36" spans="1:8" ht="25.5" customHeight="1" x14ac:dyDescent="0.35">
      <c r="A36" s="38" t="s">
        <v>7</v>
      </c>
      <c r="B36" s="28" t="s">
        <v>38</v>
      </c>
      <c r="C36" s="84" t="s">
        <v>151</v>
      </c>
      <c r="D36" s="84"/>
      <c r="E36" s="84" t="s">
        <v>152</v>
      </c>
      <c r="F36" s="84"/>
      <c r="G36" s="85" t="s">
        <v>102</v>
      </c>
      <c r="H36" s="85"/>
    </row>
    <row r="37" spans="1:8" ht="25.5" customHeight="1" x14ac:dyDescent="0.35">
      <c r="A37" s="39" t="s">
        <v>9</v>
      </c>
      <c r="B37" s="28" t="s">
        <v>38</v>
      </c>
      <c r="C37" s="84" t="s">
        <v>153</v>
      </c>
      <c r="D37" s="84"/>
      <c r="E37" s="84" t="s">
        <v>154</v>
      </c>
      <c r="F37" s="84"/>
      <c r="G37" s="85" t="s">
        <v>103</v>
      </c>
      <c r="H37" s="85"/>
    </row>
    <row r="38" spans="1:8" ht="19.5" customHeight="1" x14ac:dyDescent="0.35">
      <c r="A38" s="34" t="s">
        <v>104</v>
      </c>
      <c r="B38" s="34" t="s">
        <v>105</v>
      </c>
      <c r="C38" s="34" t="s">
        <v>106</v>
      </c>
      <c r="D38" s="34" t="s">
        <v>107</v>
      </c>
      <c r="E38" s="34" t="s">
        <v>50</v>
      </c>
      <c r="F38" s="34" t="s">
        <v>108</v>
      </c>
      <c r="G38" s="34" t="s">
        <v>109</v>
      </c>
      <c r="H38" s="34" t="s">
        <v>110</v>
      </c>
    </row>
    <row r="39" spans="1:8" ht="31.5" customHeight="1" x14ac:dyDescent="0.35">
      <c r="A39" s="40" t="s">
        <v>111</v>
      </c>
      <c r="B39" s="46" t="s">
        <v>5</v>
      </c>
      <c r="C39" s="47"/>
      <c r="D39" s="47" t="s">
        <v>155</v>
      </c>
      <c r="E39" s="48" t="s">
        <v>40</v>
      </c>
      <c r="F39" s="47" t="s">
        <v>156</v>
      </c>
      <c r="G39" s="47" t="s">
        <v>157</v>
      </c>
      <c r="H39" s="47" t="s">
        <v>158</v>
      </c>
    </row>
    <row r="40" spans="1:8" ht="31.5" customHeight="1" x14ac:dyDescent="0.35">
      <c r="A40" s="42" t="s">
        <v>112</v>
      </c>
      <c r="B40" s="49" t="s">
        <v>7</v>
      </c>
      <c r="C40" s="50" t="s">
        <v>159</v>
      </c>
      <c r="D40" s="50" t="s">
        <v>160</v>
      </c>
      <c r="E40" s="51" t="s">
        <v>36</v>
      </c>
      <c r="F40" s="50" t="s">
        <v>161</v>
      </c>
      <c r="G40" s="50" t="s">
        <v>162</v>
      </c>
      <c r="H40" s="50" t="s">
        <v>163</v>
      </c>
    </row>
    <row r="41" spans="1:8" ht="31.5" customHeight="1" x14ac:dyDescent="0.35">
      <c r="A41" s="40" t="s">
        <v>113</v>
      </c>
      <c r="B41" s="46" t="s">
        <v>3</v>
      </c>
      <c r="C41" s="47" t="s">
        <v>164</v>
      </c>
      <c r="D41" s="47" t="s">
        <v>165</v>
      </c>
      <c r="E41" s="48" t="s">
        <v>38</v>
      </c>
      <c r="F41" s="47" t="s">
        <v>166</v>
      </c>
      <c r="G41" s="47" t="s">
        <v>167</v>
      </c>
      <c r="H41" s="47" t="s">
        <v>168</v>
      </c>
    </row>
    <row r="42" spans="1:8" ht="31.5" customHeight="1" x14ac:dyDescent="0.35">
      <c r="A42" s="42" t="s">
        <v>114</v>
      </c>
      <c r="B42" s="49" t="s">
        <v>9</v>
      </c>
      <c r="C42" s="50" t="s">
        <v>169</v>
      </c>
      <c r="D42" s="50" t="s">
        <v>170</v>
      </c>
      <c r="E42" s="51" t="s">
        <v>36</v>
      </c>
      <c r="F42" s="50" t="s">
        <v>171</v>
      </c>
      <c r="G42" s="50" t="s">
        <v>172</v>
      </c>
      <c r="H42" s="50" t="s">
        <v>173</v>
      </c>
    </row>
    <row r="43" spans="1:8" ht="31.5" customHeight="1" x14ac:dyDescent="0.35">
      <c r="A43" s="40" t="s">
        <v>115</v>
      </c>
      <c r="B43" s="46" t="s">
        <v>9</v>
      </c>
      <c r="C43" s="47" t="s">
        <v>174</v>
      </c>
      <c r="D43" s="47" t="s">
        <v>175</v>
      </c>
      <c r="E43" s="48" t="s">
        <v>38</v>
      </c>
      <c r="F43" s="47" t="s">
        <v>176</v>
      </c>
      <c r="G43" s="47" t="s">
        <v>177</v>
      </c>
      <c r="H43" s="47" t="s">
        <v>178</v>
      </c>
    </row>
    <row r="44" spans="1:8" ht="21.75" customHeight="1" x14ac:dyDescent="0.35">
      <c r="A44" s="86" t="s">
        <v>116</v>
      </c>
      <c r="B44" s="86"/>
      <c r="C44" s="86"/>
      <c r="D44" s="86"/>
      <c r="E44" s="86"/>
      <c r="F44" s="86"/>
      <c r="G44" s="86"/>
      <c r="H44" s="86"/>
    </row>
    <row r="46" spans="1:8" ht="19.5" customHeight="1" x14ac:dyDescent="0.35">
      <c r="A46" s="82" t="s">
        <v>179</v>
      </c>
      <c r="B46" s="82"/>
      <c r="C46" s="82"/>
      <c r="D46" s="82"/>
      <c r="E46" s="82"/>
      <c r="F46" s="82"/>
      <c r="G46" s="82"/>
      <c r="H46" s="82"/>
    </row>
    <row r="47" spans="1:8" ht="18" customHeight="1" x14ac:dyDescent="0.35">
      <c r="A47" s="44" t="s">
        <v>49</v>
      </c>
      <c r="B47" s="44" t="s">
        <v>50</v>
      </c>
      <c r="C47" s="83" t="s">
        <v>97</v>
      </c>
      <c r="D47" s="83"/>
      <c r="E47" s="83" t="s">
        <v>98</v>
      </c>
      <c r="F47" s="83"/>
      <c r="G47" s="83" t="s">
        <v>99</v>
      </c>
      <c r="H47" s="83"/>
    </row>
    <row r="48" spans="1:8" ht="25.5" customHeight="1" x14ac:dyDescent="0.35">
      <c r="A48" s="35" t="s">
        <v>3</v>
      </c>
      <c r="B48" s="28" t="s">
        <v>38</v>
      </c>
      <c r="C48" s="84" t="s">
        <v>180</v>
      </c>
      <c r="D48" s="84"/>
      <c r="E48" s="84" t="s">
        <v>181</v>
      </c>
      <c r="F48" s="84"/>
      <c r="G48" s="85" t="s">
        <v>100</v>
      </c>
      <c r="H48" s="85"/>
    </row>
    <row r="49" spans="1:8" ht="25.5" customHeight="1" x14ac:dyDescent="0.35">
      <c r="A49" s="37" t="s">
        <v>5</v>
      </c>
      <c r="B49" s="28" t="s">
        <v>36</v>
      </c>
      <c r="C49" s="84" t="s">
        <v>182</v>
      </c>
      <c r="D49" s="84"/>
      <c r="E49" s="84" t="s">
        <v>183</v>
      </c>
      <c r="F49" s="84"/>
      <c r="G49" s="85" t="s">
        <v>101</v>
      </c>
      <c r="H49" s="85"/>
    </row>
    <row r="50" spans="1:8" ht="25.5" customHeight="1" x14ac:dyDescent="0.35">
      <c r="A50" s="38" t="s">
        <v>7</v>
      </c>
      <c r="B50" s="28" t="s">
        <v>38</v>
      </c>
      <c r="C50" s="84" t="s">
        <v>184</v>
      </c>
      <c r="D50" s="84"/>
      <c r="E50" s="84" t="s">
        <v>185</v>
      </c>
      <c r="F50" s="84"/>
      <c r="G50" s="85" t="s">
        <v>102</v>
      </c>
      <c r="H50" s="85"/>
    </row>
    <row r="51" spans="1:8" ht="25.5" customHeight="1" x14ac:dyDescent="0.35">
      <c r="A51" s="39" t="s">
        <v>9</v>
      </c>
      <c r="B51" s="28" t="s">
        <v>38</v>
      </c>
      <c r="C51" s="84" t="s">
        <v>186</v>
      </c>
      <c r="D51" s="84"/>
      <c r="E51" s="84" t="s">
        <v>187</v>
      </c>
      <c r="F51" s="84"/>
      <c r="G51" s="85" t="s">
        <v>103</v>
      </c>
      <c r="H51" s="85"/>
    </row>
    <row r="52" spans="1:8" ht="19.5" customHeight="1" x14ac:dyDescent="0.35">
      <c r="A52" s="34" t="s">
        <v>104</v>
      </c>
      <c r="B52" s="34" t="s">
        <v>105</v>
      </c>
      <c r="C52" s="34" t="s">
        <v>106</v>
      </c>
      <c r="D52" s="34" t="s">
        <v>107</v>
      </c>
      <c r="E52" s="34" t="s">
        <v>50</v>
      </c>
      <c r="F52" s="34" t="s">
        <v>108</v>
      </c>
      <c r="G52" s="34" t="s">
        <v>109</v>
      </c>
      <c r="H52" s="34" t="s">
        <v>110</v>
      </c>
    </row>
    <row r="53" spans="1:8" ht="31.5" customHeight="1" x14ac:dyDescent="0.35">
      <c r="A53" s="40" t="s">
        <v>111</v>
      </c>
      <c r="B53" s="46" t="s">
        <v>5</v>
      </c>
      <c r="C53" s="47" t="s">
        <v>188</v>
      </c>
      <c r="D53" s="47" t="s">
        <v>189</v>
      </c>
      <c r="E53" s="48" t="s">
        <v>36</v>
      </c>
      <c r="F53" s="47" t="s">
        <v>190</v>
      </c>
      <c r="G53" s="47" t="s">
        <v>191</v>
      </c>
      <c r="H53" s="47" t="s">
        <v>158</v>
      </c>
    </row>
    <row r="54" spans="1:8" ht="31.5" customHeight="1" x14ac:dyDescent="0.35">
      <c r="A54" s="42" t="s">
        <v>112</v>
      </c>
      <c r="B54" s="49" t="s">
        <v>7</v>
      </c>
      <c r="C54" s="50" t="s">
        <v>192</v>
      </c>
      <c r="D54" s="50" t="s">
        <v>193</v>
      </c>
      <c r="E54" s="51" t="s">
        <v>36</v>
      </c>
      <c r="F54" s="50" t="s">
        <v>194</v>
      </c>
      <c r="G54" s="50" t="s">
        <v>195</v>
      </c>
      <c r="H54" s="50" t="s">
        <v>196</v>
      </c>
    </row>
    <row r="55" spans="1:8" ht="31.5" customHeight="1" x14ac:dyDescent="0.35">
      <c r="A55" s="40" t="s">
        <v>113</v>
      </c>
      <c r="B55" s="46" t="s">
        <v>5</v>
      </c>
      <c r="C55" s="47" t="s">
        <v>197</v>
      </c>
      <c r="D55" s="47" t="s">
        <v>198</v>
      </c>
      <c r="E55" s="48" t="s">
        <v>36</v>
      </c>
      <c r="F55" s="47" t="s">
        <v>199</v>
      </c>
      <c r="G55" s="47" t="s">
        <v>200</v>
      </c>
      <c r="H55" s="47" t="s">
        <v>201</v>
      </c>
    </row>
    <row r="56" spans="1:8" ht="31.5" customHeight="1" x14ac:dyDescent="0.35">
      <c r="A56" s="42" t="s">
        <v>114</v>
      </c>
      <c r="B56" s="49" t="s">
        <v>9</v>
      </c>
      <c r="C56" s="50" t="s">
        <v>202</v>
      </c>
      <c r="D56" s="50" t="s">
        <v>203</v>
      </c>
      <c r="E56" s="51" t="s">
        <v>36</v>
      </c>
      <c r="F56" s="50" t="s">
        <v>204</v>
      </c>
      <c r="G56" s="50" t="s">
        <v>205</v>
      </c>
      <c r="H56" s="50" t="s">
        <v>206</v>
      </c>
    </row>
    <row r="57" spans="1:8" ht="31.5" customHeight="1" x14ac:dyDescent="0.35">
      <c r="A57" s="40" t="s">
        <v>115</v>
      </c>
      <c r="B57" s="46" t="s">
        <v>9</v>
      </c>
      <c r="C57" s="47" t="s">
        <v>207</v>
      </c>
      <c r="D57" s="47" t="s">
        <v>208</v>
      </c>
      <c r="E57" s="48" t="s">
        <v>36</v>
      </c>
      <c r="F57" s="47" t="s">
        <v>209</v>
      </c>
      <c r="G57" s="47" t="s">
        <v>210</v>
      </c>
      <c r="H57" s="47" t="s">
        <v>211</v>
      </c>
    </row>
    <row r="58" spans="1:8" ht="21.75" customHeight="1" x14ac:dyDescent="0.35">
      <c r="A58" s="86" t="s">
        <v>116</v>
      </c>
      <c r="B58" s="86"/>
      <c r="C58" s="86"/>
      <c r="D58" s="86"/>
      <c r="E58" s="86"/>
      <c r="F58" s="86"/>
      <c r="G58" s="86"/>
      <c r="H58" s="86"/>
    </row>
    <row r="60" spans="1:8" ht="19.5" customHeight="1" x14ac:dyDescent="0.35">
      <c r="A60" s="82" t="s">
        <v>212</v>
      </c>
      <c r="B60" s="82"/>
      <c r="C60" s="82"/>
      <c r="D60" s="82"/>
      <c r="E60" s="82"/>
      <c r="F60" s="82"/>
      <c r="G60" s="82"/>
      <c r="H60" s="82"/>
    </row>
    <row r="61" spans="1:8" ht="18" customHeight="1" x14ac:dyDescent="0.35">
      <c r="A61" s="44" t="s">
        <v>49</v>
      </c>
      <c r="B61" s="44" t="s">
        <v>50</v>
      </c>
      <c r="C61" s="83" t="s">
        <v>97</v>
      </c>
      <c r="D61" s="83"/>
      <c r="E61" s="83" t="s">
        <v>98</v>
      </c>
      <c r="F61" s="83"/>
      <c r="G61" s="83" t="s">
        <v>99</v>
      </c>
      <c r="H61" s="83"/>
    </row>
    <row r="62" spans="1:8" ht="25.5" customHeight="1" x14ac:dyDescent="0.35">
      <c r="A62" s="35" t="s">
        <v>3</v>
      </c>
      <c r="B62" s="28" t="s">
        <v>38</v>
      </c>
      <c r="C62" s="84" t="s">
        <v>213</v>
      </c>
      <c r="D62" s="84"/>
      <c r="E62" s="84" t="s">
        <v>214</v>
      </c>
      <c r="F62" s="84"/>
      <c r="G62" s="85" t="s">
        <v>100</v>
      </c>
      <c r="H62" s="85"/>
    </row>
    <row r="63" spans="1:8" ht="25.5" customHeight="1" x14ac:dyDescent="0.35">
      <c r="A63" s="37" t="s">
        <v>5</v>
      </c>
      <c r="B63" s="28" t="s">
        <v>36</v>
      </c>
      <c r="C63" s="84" t="s">
        <v>215</v>
      </c>
      <c r="D63" s="84"/>
      <c r="E63" s="84" t="s">
        <v>216</v>
      </c>
      <c r="F63" s="84"/>
      <c r="G63" s="85" t="s">
        <v>101</v>
      </c>
      <c r="H63" s="85"/>
    </row>
    <row r="64" spans="1:8" ht="25.5" customHeight="1" x14ac:dyDescent="0.35">
      <c r="A64" s="38" t="s">
        <v>7</v>
      </c>
      <c r="B64" s="28" t="s">
        <v>38</v>
      </c>
      <c r="C64" s="84" t="s">
        <v>217</v>
      </c>
      <c r="D64" s="84"/>
      <c r="E64" s="84" t="s">
        <v>218</v>
      </c>
      <c r="F64" s="84"/>
      <c r="G64" s="85" t="s">
        <v>102</v>
      </c>
      <c r="H64" s="85"/>
    </row>
    <row r="65" spans="1:8" ht="25.5" customHeight="1" x14ac:dyDescent="0.35">
      <c r="A65" s="39" t="s">
        <v>9</v>
      </c>
      <c r="B65" s="28" t="s">
        <v>36</v>
      </c>
      <c r="C65" s="84" t="s">
        <v>219</v>
      </c>
      <c r="D65" s="84"/>
      <c r="E65" s="84" t="s">
        <v>220</v>
      </c>
      <c r="F65" s="84"/>
      <c r="G65" s="85" t="s">
        <v>103</v>
      </c>
      <c r="H65" s="85"/>
    </row>
    <row r="66" spans="1:8" ht="19.5" customHeight="1" x14ac:dyDescent="0.35">
      <c r="A66" s="34" t="s">
        <v>104</v>
      </c>
      <c r="B66" s="34" t="s">
        <v>105</v>
      </c>
      <c r="C66" s="34" t="s">
        <v>106</v>
      </c>
      <c r="D66" s="34" t="s">
        <v>107</v>
      </c>
      <c r="E66" s="34" t="s">
        <v>50</v>
      </c>
      <c r="F66" s="34" t="s">
        <v>108</v>
      </c>
      <c r="G66" s="34" t="s">
        <v>109</v>
      </c>
      <c r="H66" s="34" t="s">
        <v>110</v>
      </c>
    </row>
    <row r="67" spans="1:8" ht="31.5" customHeight="1" x14ac:dyDescent="0.35">
      <c r="A67" s="40" t="s">
        <v>111</v>
      </c>
      <c r="B67" s="46" t="s">
        <v>5</v>
      </c>
      <c r="C67" s="47"/>
      <c r="D67" s="47"/>
      <c r="E67" s="48"/>
      <c r="F67" s="47"/>
      <c r="G67" s="47"/>
      <c r="H67" s="47"/>
    </row>
    <row r="68" spans="1:8" ht="31.5" customHeight="1" x14ac:dyDescent="0.35">
      <c r="A68" s="42" t="s">
        <v>112</v>
      </c>
      <c r="B68" s="49" t="s">
        <v>7</v>
      </c>
      <c r="C68" s="50" t="s">
        <v>221</v>
      </c>
      <c r="D68" s="50" t="s">
        <v>222</v>
      </c>
      <c r="E68" s="51" t="s">
        <v>36</v>
      </c>
      <c r="F68" s="50" t="s">
        <v>223</v>
      </c>
      <c r="G68" s="50" t="s">
        <v>224</v>
      </c>
      <c r="H68" s="50" t="s">
        <v>225</v>
      </c>
    </row>
    <row r="69" spans="1:8" ht="31.5" customHeight="1" x14ac:dyDescent="0.35">
      <c r="A69" s="40" t="s">
        <v>113</v>
      </c>
      <c r="B69" s="46" t="s">
        <v>5</v>
      </c>
      <c r="C69" s="47" t="s">
        <v>226</v>
      </c>
      <c r="D69" s="47" t="s">
        <v>227</v>
      </c>
      <c r="E69" s="48" t="s">
        <v>36</v>
      </c>
      <c r="F69" s="47" t="s">
        <v>228</v>
      </c>
      <c r="G69" s="47" t="s">
        <v>229</v>
      </c>
      <c r="H69" s="47" t="s">
        <v>230</v>
      </c>
    </row>
    <row r="70" spans="1:8" ht="31.5" customHeight="1" x14ac:dyDescent="0.35">
      <c r="A70" s="42" t="s">
        <v>114</v>
      </c>
      <c r="B70" s="49" t="s">
        <v>9</v>
      </c>
      <c r="C70" s="50" t="s">
        <v>231</v>
      </c>
      <c r="D70" s="50" t="s">
        <v>232</v>
      </c>
      <c r="E70" s="51" t="s">
        <v>36</v>
      </c>
      <c r="F70" s="50" t="s">
        <v>233</v>
      </c>
      <c r="G70" s="50" t="s">
        <v>234</v>
      </c>
      <c r="H70" s="50" t="s">
        <v>206</v>
      </c>
    </row>
    <row r="71" spans="1:8" ht="31.5" customHeight="1" x14ac:dyDescent="0.35">
      <c r="A71" s="40" t="s">
        <v>115</v>
      </c>
      <c r="B71" s="46" t="s">
        <v>9</v>
      </c>
      <c r="C71" s="47" t="s">
        <v>235</v>
      </c>
      <c r="D71" s="47" t="s">
        <v>236</v>
      </c>
      <c r="E71" s="48" t="s">
        <v>36</v>
      </c>
      <c r="F71" s="47" t="s">
        <v>237</v>
      </c>
      <c r="G71" s="47" t="s">
        <v>238</v>
      </c>
      <c r="H71" s="47" t="s">
        <v>239</v>
      </c>
    </row>
    <row r="72" spans="1:8" ht="21.75" customHeight="1" x14ac:dyDescent="0.35">
      <c r="A72" s="86" t="s">
        <v>116</v>
      </c>
      <c r="B72" s="86"/>
      <c r="C72" s="86"/>
      <c r="D72" s="86"/>
      <c r="E72" s="86"/>
      <c r="F72" s="86"/>
      <c r="G72" s="86"/>
      <c r="H72" s="86"/>
    </row>
    <row r="74" spans="1:8" ht="19.5" customHeight="1" x14ac:dyDescent="0.35">
      <c r="A74" s="82" t="s">
        <v>240</v>
      </c>
      <c r="B74" s="82"/>
      <c r="C74" s="82"/>
      <c r="D74" s="82"/>
      <c r="E74" s="82"/>
      <c r="F74" s="82"/>
      <c r="G74" s="82"/>
      <c r="H74" s="82"/>
    </row>
    <row r="75" spans="1:8" ht="18" customHeight="1" x14ac:dyDescent="0.35">
      <c r="A75" s="44" t="s">
        <v>49</v>
      </c>
      <c r="B75" s="44" t="s">
        <v>50</v>
      </c>
      <c r="C75" s="83" t="s">
        <v>97</v>
      </c>
      <c r="D75" s="83"/>
      <c r="E75" s="83" t="s">
        <v>98</v>
      </c>
      <c r="F75" s="83"/>
      <c r="G75" s="83" t="s">
        <v>99</v>
      </c>
      <c r="H75" s="83"/>
    </row>
    <row r="76" spans="1:8" ht="25.5" customHeight="1" x14ac:dyDescent="0.35">
      <c r="A76" s="35" t="s">
        <v>3</v>
      </c>
      <c r="B76" s="28" t="s">
        <v>38</v>
      </c>
      <c r="C76" s="84" t="s">
        <v>241</v>
      </c>
      <c r="D76" s="84"/>
      <c r="E76" s="84" t="s">
        <v>242</v>
      </c>
      <c r="F76" s="84"/>
      <c r="G76" s="85" t="s">
        <v>100</v>
      </c>
      <c r="H76" s="85"/>
    </row>
    <row r="77" spans="1:8" ht="25.5" customHeight="1" x14ac:dyDescent="0.35">
      <c r="A77" s="37" t="s">
        <v>5</v>
      </c>
      <c r="B77" s="28" t="s">
        <v>36</v>
      </c>
      <c r="C77" s="84" t="s">
        <v>243</v>
      </c>
      <c r="D77" s="84"/>
      <c r="E77" s="84" t="s">
        <v>244</v>
      </c>
      <c r="F77" s="84"/>
      <c r="G77" s="85" t="s">
        <v>101</v>
      </c>
      <c r="H77" s="85"/>
    </row>
    <row r="78" spans="1:8" ht="25.5" customHeight="1" x14ac:dyDescent="0.35">
      <c r="A78" s="38" t="s">
        <v>7</v>
      </c>
      <c r="B78" s="28" t="s">
        <v>38</v>
      </c>
      <c r="C78" s="84" t="s">
        <v>245</v>
      </c>
      <c r="D78" s="84"/>
      <c r="E78" s="84" t="s">
        <v>246</v>
      </c>
      <c r="F78" s="84"/>
      <c r="G78" s="85" t="s">
        <v>102</v>
      </c>
      <c r="H78" s="85"/>
    </row>
    <row r="79" spans="1:8" ht="25.5" customHeight="1" x14ac:dyDescent="0.35">
      <c r="A79" s="39" t="s">
        <v>9</v>
      </c>
      <c r="B79" s="28" t="s">
        <v>36</v>
      </c>
      <c r="C79" s="84" t="s">
        <v>247</v>
      </c>
      <c r="D79" s="84"/>
      <c r="E79" s="84" t="s">
        <v>248</v>
      </c>
      <c r="F79" s="84"/>
      <c r="G79" s="85" t="s">
        <v>103</v>
      </c>
      <c r="H79" s="85"/>
    </row>
    <row r="80" spans="1:8" ht="19.5" customHeight="1" x14ac:dyDescent="0.35">
      <c r="A80" s="34" t="s">
        <v>104</v>
      </c>
      <c r="B80" s="34" t="s">
        <v>105</v>
      </c>
      <c r="C80" s="34" t="s">
        <v>106</v>
      </c>
      <c r="D80" s="34" t="s">
        <v>107</v>
      </c>
      <c r="E80" s="34" t="s">
        <v>50</v>
      </c>
      <c r="F80" s="34" t="s">
        <v>108</v>
      </c>
      <c r="G80" s="34" t="s">
        <v>109</v>
      </c>
      <c r="H80" s="34" t="s">
        <v>110</v>
      </c>
    </row>
    <row r="81" spans="1:8" ht="31.5" customHeight="1" x14ac:dyDescent="0.35">
      <c r="A81" s="40" t="s">
        <v>111</v>
      </c>
      <c r="B81" s="46" t="s">
        <v>5</v>
      </c>
      <c r="C81" s="47" t="s">
        <v>249</v>
      </c>
      <c r="D81" s="47" t="s">
        <v>250</v>
      </c>
      <c r="E81" s="48" t="s">
        <v>36</v>
      </c>
      <c r="F81" s="47" t="s">
        <v>251</v>
      </c>
      <c r="G81" s="47" t="s">
        <v>252</v>
      </c>
      <c r="H81" s="47" t="s">
        <v>158</v>
      </c>
    </row>
    <row r="82" spans="1:8" ht="31.5" customHeight="1" x14ac:dyDescent="0.35">
      <c r="A82" s="42" t="s">
        <v>112</v>
      </c>
      <c r="B82" s="49" t="s">
        <v>7</v>
      </c>
      <c r="C82" s="50" t="s">
        <v>253</v>
      </c>
      <c r="D82" s="50" t="s">
        <v>254</v>
      </c>
      <c r="E82" s="51" t="s">
        <v>36</v>
      </c>
      <c r="F82" s="50" t="s">
        <v>255</v>
      </c>
      <c r="G82" s="50" t="s">
        <v>256</v>
      </c>
      <c r="H82" s="50" t="s">
        <v>257</v>
      </c>
    </row>
    <row r="83" spans="1:8" ht="31.5" customHeight="1" x14ac:dyDescent="0.35">
      <c r="A83" s="40" t="s">
        <v>113</v>
      </c>
      <c r="B83" s="46" t="s">
        <v>5</v>
      </c>
      <c r="C83" s="47" t="s">
        <v>258</v>
      </c>
      <c r="D83" s="47" t="s">
        <v>259</v>
      </c>
      <c r="E83" s="48" t="s">
        <v>36</v>
      </c>
      <c r="F83" s="47" t="s">
        <v>260</v>
      </c>
      <c r="G83" s="47" t="s">
        <v>261</v>
      </c>
      <c r="H83" s="47" t="s">
        <v>230</v>
      </c>
    </row>
    <row r="84" spans="1:8" ht="31.5" customHeight="1" x14ac:dyDescent="0.35">
      <c r="A84" s="42" t="s">
        <v>114</v>
      </c>
      <c r="B84" s="49" t="s">
        <v>9</v>
      </c>
      <c r="C84" s="50" t="s">
        <v>262</v>
      </c>
      <c r="D84" s="50" t="s">
        <v>263</v>
      </c>
      <c r="E84" s="51" t="s">
        <v>36</v>
      </c>
      <c r="F84" s="50" t="s">
        <v>264</v>
      </c>
      <c r="G84" s="50" t="s">
        <v>265</v>
      </c>
      <c r="H84" s="50" t="s">
        <v>158</v>
      </c>
    </row>
    <row r="85" spans="1:8" ht="31.5" customHeight="1" x14ac:dyDescent="0.35">
      <c r="A85" s="40" t="s">
        <v>115</v>
      </c>
      <c r="B85" s="46" t="s">
        <v>9</v>
      </c>
      <c r="C85" s="47" t="s">
        <v>266</v>
      </c>
      <c r="D85" s="47" t="s">
        <v>267</v>
      </c>
      <c r="E85" s="48" t="s">
        <v>36</v>
      </c>
      <c r="F85" s="47" t="s">
        <v>268</v>
      </c>
      <c r="G85" s="47" t="s">
        <v>269</v>
      </c>
      <c r="H85" s="47" t="s">
        <v>270</v>
      </c>
    </row>
    <row r="86" spans="1:8" ht="21.75" customHeight="1" x14ac:dyDescent="0.35">
      <c r="A86" s="86" t="s">
        <v>116</v>
      </c>
      <c r="B86" s="86"/>
      <c r="C86" s="86"/>
      <c r="D86" s="86"/>
      <c r="E86" s="86"/>
      <c r="F86" s="86"/>
      <c r="G86" s="86"/>
      <c r="H86" s="86"/>
    </row>
    <row r="88" spans="1:8" ht="19.5" customHeight="1" x14ac:dyDescent="0.35">
      <c r="A88" s="82" t="s">
        <v>271</v>
      </c>
      <c r="B88" s="82"/>
      <c r="C88" s="82"/>
      <c r="D88" s="82"/>
      <c r="E88" s="82"/>
      <c r="F88" s="82"/>
      <c r="G88" s="82"/>
      <c r="H88" s="82"/>
    </row>
    <row r="89" spans="1:8" ht="18" customHeight="1" x14ac:dyDescent="0.35">
      <c r="A89" s="44" t="s">
        <v>49</v>
      </c>
      <c r="B89" s="44" t="s">
        <v>50</v>
      </c>
      <c r="C89" s="83" t="s">
        <v>97</v>
      </c>
      <c r="D89" s="83"/>
      <c r="E89" s="83" t="s">
        <v>98</v>
      </c>
      <c r="F89" s="83"/>
      <c r="G89" s="83" t="s">
        <v>99</v>
      </c>
      <c r="H89" s="83"/>
    </row>
    <row r="90" spans="1:8" ht="25.5" customHeight="1" x14ac:dyDescent="0.35">
      <c r="A90" s="35" t="s">
        <v>3</v>
      </c>
      <c r="B90" s="28" t="s">
        <v>38</v>
      </c>
      <c r="C90" s="84" t="s">
        <v>272</v>
      </c>
      <c r="D90" s="84"/>
      <c r="E90" s="84" t="s">
        <v>273</v>
      </c>
      <c r="F90" s="84"/>
      <c r="G90" s="85" t="s">
        <v>100</v>
      </c>
      <c r="H90" s="85"/>
    </row>
    <row r="91" spans="1:8" ht="25.5" customHeight="1" x14ac:dyDescent="0.35">
      <c r="A91" s="37" t="s">
        <v>5</v>
      </c>
      <c r="B91" s="28" t="s">
        <v>36</v>
      </c>
      <c r="C91" s="84" t="s">
        <v>274</v>
      </c>
      <c r="D91" s="84"/>
      <c r="E91" s="84" t="s">
        <v>275</v>
      </c>
      <c r="F91" s="84"/>
      <c r="G91" s="85" t="s">
        <v>101</v>
      </c>
      <c r="H91" s="85"/>
    </row>
    <row r="92" spans="1:8" ht="25.5" customHeight="1" x14ac:dyDescent="0.35">
      <c r="A92" s="38" t="s">
        <v>7</v>
      </c>
      <c r="B92" s="28" t="s">
        <v>38</v>
      </c>
      <c r="C92" s="84" t="s">
        <v>276</v>
      </c>
      <c r="D92" s="84"/>
      <c r="E92" s="84" t="s">
        <v>277</v>
      </c>
      <c r="F92" s="84"/>
      <c r="G92" s="85" t="s">
        <v>102</v>
      </c>
      <c r="H92" s="85"/>
    </row>
    <row r="93" spans="1:8" ht="25.5" customHeight="1" x14ac:dyDescent="0.35">
      <c r="A93" s="39" t="s">
        <v>9</v>
      </c>
      <c r="B93" s="28" t="s">
        <v>36</v>
      </c>
      <c r="C93" s="84" t="s">
        <v>278</v>
      </c>
      <c r="D93" s="84"/>
      <c r="E93" s="84" t="s">
        <v>279</v>
      </c>
      <c r="F93" s="84"/>
      <c r="G93" s="85" t="s">
        <v>103</v>
      </c>
      <c r="H93" s="85"/>
    </row>
    <row r="94" spans="1:8" ht="19.5" customHeight="1" x14ac:dyDescent="0.35">
      <c r="A94" s="34" t="s">
        <v>104</v>
      </c>
      <c r="B94" s="34" t="s">
        <v>105</v>
      </c>
      <c r="C94" s="34" t="s">
        <v>106</v>
      </c>
      <c r="D94" s="34" t="s">
        <v>107</v>
      </c>
      <c r="E94" s="34" t="s">
        <v>50</v>
      </c>
      <c r="F94" s="34" t="s">
        <v>108</v>
      </c>
      <c r="G94" s="34" t="s">
        <v>109</v>
      </c>
      <c r="H94" s="34" t="s">
        <v>110</v>
      </c>
    </row>
    <row r="95" spans="1:8" ht="31.5" customHeight="1" x14ac:dyDescent="0.35">
      <c r="A95" s="40" t="s">
        <v>111</v>
      </c>
      <c r="B95" s="46" t="s">
        <v>7</v>
      </c>
      <c r="C95" s="47" t="s">
        <v>280</v>
      </c>
      <c r="D95" s="47" t="s">
        <v>281</v>
      </c>
      <c r="E95" s="48" t="s">
        <v>36</v>
      </c>
      <c r="F95" s="47" t="s">
        <v>264</v>
      </c>
      <c r="G95" s="47" t="s">
        <v>282</v>
      </c>
      <c r="H95" s="47" t="s">
        <v>158</v>
      </c>
    </row>
    <row r="96" spans="1:8" ht="31.5" customHeight="1" x14ac:dyDescent="0.35">
      <c r="A96" s="42" t="s">
        <v>112</v>
      </c>
      <c r="B96" s="49" t="s">
        <v>7</v>
      </c>
      <c r="C96" s="50"/>
      <c r="D96" s="50" t="s">
        <v>283</v>
      </c>
      <c r="E96" s="51" t="s">
        <v>44</v>
      </c>
      <c r="F96" s="50"/>
      <c r="G96" s="50"/>
      <c r="H96" s="50"/>
    </row>
    <row r="97" spans="1:8" ht="31.5" customHeight="1" x14ac:dyDescent="0.35">
      <c r="A97" s="40" t="s">
        <v>113</v>
      </c>
      <c r="B97" s="46" t="s">
        <v>5</v>
      </c>
      <c r="C97" s="47" t="s">
        <v>284</v>
      </c>
      <c r="D97" s="47" t="s">
        <v>285</v>
      </c>
      <c r="E97" s="48" t="s">
        <v>36</v>
      </c>
      <c r="F97" s="47" t="s">
        <v>286</v>
      </c>
      <c r="G97" s="47" t="s">
        <v>287</v>
      </c>
      <c r="H97" s="47" t="s">
        <v>230</v>
      </c>
    </row>
    <row r="98" spans="1:8" ht="31.5" customHeight="1" x14ac:dyDescent="0.35">
      <c r="A98" s="42" t="s">
        <v>114</v>
      </c>
      <c r="B98" s="49" t="s">
        <v>9</v>
      </c>
      <c r="C98" s="50" t="s">
        <v>288</v>
      </c>
      <c r="D98" s="50" t="s">
        <v>289</v>
      </c>
      <c r="E98" s="51" t="s">
        <v>36</v>
      </c>
      <c r="F98" s="50" t="s">
        <v>290</v>
      </c>
      <c r="G98" s="50" t="s">
        <v>291</v>
      </c>
      <c r="H98" s="50" t="s">
        <v>158</v>
      </c>
    </row>
    <row r="99" spans="1:8" ht="31.5" customHeight="1" x14ac:dyDescent="0.35">
      <c r="A99" s="40" t="s">
        <v>115</v>
      </c>
      <c r="B99" s="46" t="s">
        <v>9</v>
      </c>
      <c r="C99" s="47" t="s">
        <v>292</v>
      </c>
      <c r="D99" s="47" t="s">
        <v>293</v>
      </c>
      <c r="E99" s="48" t="s">
        <v>36</v>
      </c>
      <c r="F99" s="47" t="s">
        <v>268</v>
      </c>
      <c r="G99" s="47" t="s">
        <v>294</v>
      </c>
      <c r="H99" s="47" t="s">
        <v>270</v>
      </c>
    </row>
    <row r="100" spans="1:8" ht="21.75" customHeight="1" x14ac:dyDescent="0.35">
      <c r="A100" s="86" t="s">
        <v>116</v>
      </c>
      <c r="B100" s="86"/>
      <c r="C100" s="86"/>
      <c r="D100" s="86"/>
      <c r="E100" s="86"/>
      <c r="F100" s="86"/>
      <c r="G100" s="86"/>
      <c r="H100" s="86"/>
    </row>
    <row r="102" spans="1:8" ht="19.5" customHeight="1" x14ac:dyDescent="0.35">
      <c r="A102" s="82" t="s">
        <v>295</v>
      </c>
      <c r="B102" s="82"/>
      <c r="C102" s="82"/>
      <c r="D102" s="82"/>
      <c r="E102" s="82"/>
      <c r="F102" s="82"/>
      <c r="G102" s="82"/>
      <c r="H102" s="82"/>
    </row>
    <row r="103" spans="1:8" ht="18" customHeight="1" x14ac:dyDescent="0.35">
      <c r="A103" s="44" t="s">
        <v>49</v>
      </c>
      <c r="B103" s="44" t="s">
        <v>50</v>
      </c>
      <c r="C103" s="83" t="s">
        <v>97</v>
      </c>
      <c r="D103" s="83"/>
      <c r="E103" s="83" t="s">
        <v>98</v>
      </c>
      <c r="F103" s="83"/>
      <c r="G103" s="83" t="s">
        <v>99</v>
      </c>
      <c r="H103" s="83"/>
    </row>
    <row r="104" spans="1:8" ht="25.5" customHeight="1" x14ac:dyDescent="0.35">
      <c r="A104" s="35" t="s">
        <v>3</v>
      </c>
      <c r="B104" s="45"/>
      <c r="C104" s="84" t="s">
        <v>296</v>
      </c>
      <c r="D104" s="84"/>
      <c r="E104" s="84" t="s">
        <v>297</v>
      </c>
      <c r="F104" s="84"/>
      <c r="G104" s="85" t="s">
        <v>100</v>
      </c>
      <c r="H104" s="85"/>
    </row>
    <row r="105" spans="1:8" ht="25.5" customHeight="1" x14ac:dyDescent="0.35">
      <c r="A105" s="37" t="s">
        <v>5</v>
      </c>
      <c r="B105" s="45"/>
      <c r="C105" s="84" t="s">
        <v>298</v>
      </c>
      <c r="D105" s="84"/>
      <c r="E105" s="84" t="s">
        <v>299</v>
      </c>
      <c r="F105" s="84"/>
      <c r="G105" s="85" t="s">
        <v>101</v>
      </c>
      <c r="H105" s="85"/>
    </row>
    <row r="106" spans="1:8" ht="25.5" customHeight="1" x14ac:dyDescent="0.35">
      <c r="A106" s="38" t="s">
        <v>7</v>
      </c>
      <c r="B106" s="45"/>
      <c r="C106" s="84" t="s">
        <v>300</v>
      </c>
      <c r="D106" s="84"/>
      <c r="E106" s="84" t="s">
        <v>301</v>
      </c>
      <c r="F106" s="84"/>
      <c r="G106" s="85" t="s">
        <v>102</v>
      </c>
      <c r="H106" s="85"/>
    </row>
    <row r="107" spans="1:8" ht="25.5" customHeight="1" x14ac:dyDescent="0.35">
      <c r="A107" s="39" t="s">
        <v>9</v>
      </c>
      <c r="B107" s="45"/>
      <c r="C107" s="84" t="s">
        <v>302</v>
      </c>
      <c r="D107" s="84"/>
      <c r="E107" s="84" t="s">
        <v>303</v>
      </c>
      <c r="F107" s="84"/>
      <c r="G107" s="85" t="s">
        <v>103</v>
      </c>
      <c r="H107" s="85"/>
    </row>
    <row r="108" spans="1:8" ht="19.5" customHeight="1" x14ac:dyDescent="0.35">
      <c r="A108" s="34" t="s">
        <v>104</v>
      </c>
      <c r="B108" s="34" t="s">
        <v>105</v>
      </c>
      <c r="C108" s="34" t="s">
        <v>106</v>
      </c>
      <c r="D108" s="34" t="s">
        <v>107</v>
      </c>
      <c r="E108" s="34" t="s">
        <v>50</v>
      </c>
      <c r="F108" s="34" t="s">
        <v>108</v>
      </c>
      <c r="G108" s="34" t="s">
        <v>109</v>
      </c>
      <c r="H108" s="34" t="s">
        <v>110</v>
      </c>
    </row>
    <row r="109" spans="1:8" ht="31.5" customHeight="1" x14ac:dyDescent="0.35">
      <c r="A109" s="40" t="s">
        <v>111</v>
      </c>
      <c r="B109" s="46" t="s">
        <v>7</v>
      </c>
      <c r="C109" s="47" t="s">
        <v>304</v>
      </c>
      <c r="D109" s="47" t="s">
        <v>305</v>
      </c>
      <c r="E109" s="48" t="s">
        <v>44</v>
      </c>
      <c r="F109" s="47" t="s">
        <v>306</v>
      </c>
      <c r="G109" s="47" t="s">
        <v>307</v>
      </c>
      <c r="H109" s="47" t="s">
        <v>158</v>
      </c>
    </row>
    <row r="110" spans="1:8" ht="31.5" customHeight="1" x14ac:dyDescent="0.35">
      <c r="A110" s="42" t="s">
        <v>112</v>
      </c>
      <c r="B110" s="49" t="s">
        <v>7</v>
      </c>
      <c r="C110" s="50" t="s">
        <v>308</v>
      </c>
      <c r="D110" s="50" t="s">
        <v>309</v>
      </c>
      <c r="E110" s="51" t="s">
        <v>44</v>
      </c>
      <c r="F110" s="50" t="s">
        <v>310</v>
      </c>
      <c r="G110" s="50" t="s">
        <v>311</v>
      </c>
      <c r="H110" s="50" t="s">
        <v>158</v>
      </c>
    </row>
    <row r="111" spans="1:8" ht="31.5" customHeight="1" x14ac:dyDescent="0.35">
      <c r="A111" s="40" t="s">
        <v>113</v>
      </c>
      <c r="B111" s="46" t="s">
        <v>5</v>
      </c>
      <c r="C111" s="47" t="s">
        <v>312</v>
      </c>
      <c r="D111" s="47" t="s">
        <v>599</v>
      </c>
      <c r="E111" s="48" t="s">
        <v>36</v>
      </c>
      <c r="F111" s="47" t="s">
        <v>313</v>
      </c>
      <c r="G111" s="47" t="s">
        <v>314</v>
      </c>
      <c r="H111" s="47" t="s">
        <v>230</v>
      </c>
    </row>
    <row r="112" spans="1:8" ht="31.5" customHeight="1" x14ac:dyDescent="0.35">
      <c r="A112" s="42" t="s">
        <v>114</v>
      </c>
      <c r="B112" s="49" t="s">
        <v>9</v>
      </c>
      <c r="C112" s="50" t="s">
        <v>315</v>
      </c>
      <c r="D112" s="50" t="s">
        <v>598</v>
      </c>
      <c r="E112" s="51" t="s">
        <v>36</v>
      </c>
      <c r="F112" s="50" t="s">
        <v>316</v>
      </c>
      <c r="G112" s="50" t="s">
        <v>317</v>
      </c>
      <c r="H112" s="50" t="s">
        <v>318</v>
      </c>
    </row>
    <row r="113" spans="1:8" ht="31.5" customHeight="1" x14ac:dyDescent="0.35">
      <c r="A113" s="40" t="s">
        <v>115</v>
      </c>
      <c r="B113" s="46" t="s">
        <v>9</v>
      </c>
      <c r="C113" s="47" t="s">
        <v>319</v>
      </c>
      <c r="D113" s="47" t="s">
        <v>320</v>
      </c>
      <c r="E113" s="48" t="s">
        <v>44</v>
      </c>
      <c r="F113" s="47" t="s">
        <v>306</v>
      </c>
      <c r="G113" s="47" t="s">
        <v>321</v>
      </c>
      <c r="H113" s="47" t="s">
        <v>158</v>
      </c>
    </row>
    <row r="114" spans="1:8" ht="21.75" customHeight="1" x14ac:dyDescent="0.35">
      <c r="A114" s="86" t="s">
        <v>116</v>
      </c>
      <c r="B114" s="86"/>
      <c r="C114" s="86"/>
      <c r="D114" s="86"/>
      <c r="E114" s="86"/>
      <c r="F114" s="86"/>
      <c r="G114" s="86"/>
      <c r="H114" s="86"/>
    </row>
    <row r="116" spans="1:8" ht="19.5" customHeight="1" x14ac:dyDescent="0.35">
      <c r="A116" s="82" t="s">
        <v>322</v>
      </c>
      <c r="B116" s="82"/>
      <c r="C116" s="82"/>
      <c r="D116" s="82"/>
      <c r="E116" s="82"/>
      <c r="F116" s="82"/>
      <c r="G116" s="82"/>
      <c r="H116" s="82"/>
    </row>
    <row r="117" spans="1:8" ht="18" customHeight="1" x14ac:dyDescent="0.35">
      <c r="A117" s="44" t="s">
        <v>49</v>
      </c>
      <c r="B117" s="44" t="s">
        <v>50</v>
      </c>
      <c r="C117" s="83" t="s">
        <v>97</v>
      </c>
      <c r="D117" s="83"/>
      <c r="E117" s="83" t="s">
        <v>98</v>
      </c>
      <c r="F117" s="83"/>
      <c r="G117" s="83" t="s">
        <v>99</v>
      </c>
      <c r="H117" s="83"/>
    </row>
    <row r="118" spans="1:8" ht="25.5" customHeight="1" x14ac:dyDescent="0.35">
      <c r="A118" s="35" t="s">
        <v>3</v>
      </c>
      <c r="B118" s="45"/>
      <c r="C118" s="84"/>
      <c r="D118" s="84"/>
      <c r="E118" s="84"/>
      <c r="F118" s="84"/>
      <c r="G118" s="85" t="s">
        <v>100</v>
      </c>
      <c r="H118" s="85"/>
    </row>
    <row r="119" spans="1:8" ht="25.5" customHeight="1" x14ac:dyDescent="0.35">
      <c r="A119" s="37" t="s">
        <v>5</v>
      </c>
      <c r="B119" s="45"/>
      <c r="C119" s="84"/>
      <c r="D119" s="84"/>
      <c r="E119" s="84"/>
      <c r="F119" s="84"/>
      <c r="G119" s="85" t="s">
        <v>101</v>
      </c>
      <c r="H119" s="85"/>
    </row>
    <row r="120" spans="1:8" ht="25.5" customHeight="1" x14ac:dyDescent="0.35">
      <c r="A120" s="38" t="s">
        <v>7</v>
      </c>
      <c r="B120" s="45"/>
      <c r="C120" s="84"/>
      <c r="D120" s="84"/>
      <c r="E120" s="84"/>
      <c r="F120" s="84"/>
      <c r="G120" s="85" t="s">
        <v>102</v>
      </c>
      <c r="H120" s="85"/>
    </row>
    <row r="121" spans="1:8" ht="25.5" customHeight="1" x14ac:dyDescent="0.35">
      <c r="A121" s="39" t="s">
        <v>9</v>
      </c>
      <c r="B121" s="45"/>
      <c r="C121" s="84"/>
      <c r="D121" s="84"/>
      <c r="E121" s="84"/>
      <c r="F121" s="84"/>
      <c r="G121" s="85" t="s">
        <v>103</v>
      </c>
      <c r="H121" s="85"/>
    </row>
    <row r="122" spans="1:8" ht="19.5" customHeight="1" x14ac:dyDescent="0.35">
      <c r="A122" s="34" t="s">
        <v>104</v>
      </c>
      <c r="B122" s="34" t="s">
        <v>105</v>
      </c>
      <c r="C122" s="34" t="s">
        <v>106</v>
      </c>
      <c r="D122" s="34" t="s">
        <v>107</v>
      </c>
      <c r="E122" s="34" t="s">
        <v>50</v>
      </c>
      <c r="F122" s="34" t="s">
        <v>108</v>
      </c>
      <c r="G122" s="34" t="s">
        <v>109</v>
      </c>
      <c r="H122" s="34" t="s">
        <v>110</v>
      </c>
    </row>
    <row r="123" spans="1:8" ht="31.5" customHeight="1" x14ac:dyDescent="0.35">
      <c r="A123" s="40" t="s">
        <v>111</v>
      </c>
      <c r="B123" s="46" t="s">
        <v>5</v>
      </c>
      <c r="C123" s="47"/>
      <c r="D123" s="47"/>
      <c r="E123" s="48"/>
      <c r="F123" s="47"/>
      <c r="G123" s="47"/>
      <c r="H123" s="47"/>
    </row>
    <row r="124" spans="1:8" ht="31.5" customHeight="1" x14ac:dyDescent="0.35">
      <c r="A124" s="42" t="s">
        <v>112</v>
      </c>
      <c r="B124" s="49" t="s">
        <v>7</v>
      </c>
      <c r="C124" s="50"/>
      <c r="D124" s="50"/>
      <c r="E124" s="51"/>
      <c r="F124" s="50"/>
      <c r="G124" s="50"/>
      <c r="H124" s="50"/>
    </row>
    <row r="125" spans="1:8" ht="31.5" customHeight="1" x14ac:dyDescent="0.35">
      <c r="A125" s="40" t="s">
        <v>113</v>
      </c>
      <c r="B125" s="46" t="s">
        <v>3</v>
      </c>
      <c r="C125" s="47"/>
      <c r="D125" s="47"/>
      <c r="E125" s="48"/>
      <c r="F125" s="47"/>
      <c r="G125" s="47"/>
      <c r="H125" s="47"/>
    </row>
    <row r="126" spans="1:8" ht="31.5" customHeight="1" x14ac:dyDescent="0.35">
      <c r="A126" s="42" t="s">
        <v>114</v>
      </c>
      <c r="B126" s="49" t="s">
        <v>9</v>
      </c>
      <c r="C126" s="50"/>
      <c r="D126" s="50"/>
      <c r="E126" s="51"/>
      <c r="F126" s="50"/>
      <c r="G126" s="50"/>
      <c r="H126" s="50"/>
    </row>
    <row r="127" spans="1:8" ht="31.5" customHeight="1" x14ac:dyDescent="0.35">
      <c r="A127" s="40" t="s">
        <v>115</v>
      </c>
      <c r="B127" s="46" t="s">
        <v>9</v>
      </c>
      <c r="C127" s="47"/>
      <c r="D127" s="47"/>
      <c r="E127" s="48"/>
      <c r="F127" s="47"/>
      <c r="G127" s="47"/>
      <c r="H127" s="47"/>
    </row>
    <row r="128" spans="1:8" ht="21.75" customHeight="1" x14ac:dyDescent="0.35">
      <c r="A128" s="86" t="s">
        <v>116</v>
      </c>
      <c r="B128" s="86"/>
      <c r="C128" s="86"/>
      <c r="D128" s="86"/>
      <c r="E128" s="86"/>
      <c r="F128" s="86"/>
      <c r="G128" s="86"/>
      <c r="H128" s="86"/>
    </row>
    <row r="130" spans="1:8" ht="19.5" customHeight="1" x14ac:dyDescent="0.35">
      <c r="A130" s="82" t="s">
        <v>323</v>
      </c>
      <c r="B130" s="82"/>
      <c r="C130" s="82"/>
      <c r="D130" s="82"/>
      <c r="E130" s="82"/>
      <c r="F130" s="82"/>
      <c r="G130" s="82"/>
      <c r="H130" s="82"/>
    </row>
    <row r="131" spans="1:8" ht="18" customHeight="1" x14ac:dyDescent="0.35">
      <c r="A131" s="44" t="s">
        <v>49</v>
      </c>
      <c r="B131" s="44" t="s">
        <v>50</v>
      </c>
      <c r="C131" s="83" t="s">
        <v>97</v>
      </c>
      <c r="D131" s="83"/>
      <c r="E131" s="83" t="s">
        <v>98</v>
      </c>
      <c r="F131" s="83"/>
      <c r="G131" s="83" t="s">
        <v>99</v>
      </c>
      <c r="H131" s="83"/>
    </row>
    <row r="132" spans="1:8" ht="25.5" customHeight="1" x14ac:dyDescent="0.35">
      <c r="A132" s="35" t="s">
        <v>3</v>
      </c>
      <c r="B132" s="45"/>
      <c r="C132" s="84"/>
      <c r="D132" s="84"/>
      <c r="E132" s="84"/>
      <c r="F132" s="84"/>
      <c r="G132" s="85" t="s">
        <v>100</v>
      </c>
      <c r="H132" s="85"/>
    </row>
    <row r="133" spans="1:8" ht="25.5" customHeight="1" x14ac:dyDescent="0.35">
      <c r="A133" s="37" t="s">
        <v>5</v>
      </c>
      <c r="B133" s="45"/>
      <c r="C133" s="84"/>
      <c r="D133" s="84"/>
      <c r="E133" s="84"/>
      <c r="F133" s="84"/>
      <c r="G133" s="85" t="s">
        <v>101</v>
      </c>
      <c r="H133" s="85"/>
    </row>
    <row r="134" spans="1:8" ht="25.5" customHeight="1" x14ac:dyDescent="0.35">
      <c r="A134" s="38" t="s">
        <v>7</v>
      </c>
      <c r="B134" s="45"/>
      <c r="C134" s="84"/>
      <c r="D134" s="84"/>
      <c r="E134" s="84"/>
      <c r="F134" s="84"/>
      <c r="G134" s="85" t="s">
        <v>102</v>
      </c>
      <c r="H134" s="85"/>
    </row>
    <row r="135" spans="1:8" ht="25.5" customHeight="1" x14ac:dyDescent="0.35">
      <c r="A135" s="39" t="s">
        <v>9</v>
      </c>
      <c r="B135" s="45"/>
      <c r="C135" s="84"/>
      <c r="D135" s="84"/>
      <c r="E135" s="84"/>
      <c r="F135" s="84"/>
      <c r="G135" s="85" t="s">
        <v>103</v>
      </c>
      <c r="H135" s="85"/>
    </row>
    <row r="136" spans="1:8" ht="19.5" customHeight="1" x14ac:dyDescent="0.35">
      <c r="A136" s="34" t="s">
        <v>104</v>
      </c>
      <c r="B136" s="34" t="s">
        <v>105</v>
      </c>
      <c r="C136" s="34" t="s">
        <v>106</v>
      </c>
      <c r="D136" s="34" t="s">
        <v>107</v>
      </c>
      <c r="E136" s="34" t="s">
        <v>50</v>
      </c>
      <c r="F136" s="34" t="s">
        <v>108</v>
      </c>
      <c r="G136" s="34" t="s">
        <v>109</v>
      </c>
      <c r="H136" s="34" t="s">
        <v>110</v>
      </c>
    </row>
    <row r="137" spans="1:8" ht="31.5" customHeight="1" x14ac:dyDescent="0.35">
      <c r="A137" s="40" t="s">
        <v>111</v>
      </c>
      <c r="B137" s="46" t="s">
        <v>5</v>
      </c>
      <c r="C137" s="47"/>
      <c r="D137" s="47"/>
      <c r="E137" s="48"/>
      <c r="F137" s="47"/>
      <c r="G137" s="47"/>
      <c r="H137" s="47"/>
    </row>
    <row r="138" spans="1:8" ht="31.5" customHeight="1" x14ac:dyDescent="0.35">
      <c r="A138" s="42" t="s">
        <v>112</v>
      </c>
      <c r="B138" s="49" t="s">
        <v>7</v>
      </c>
      <c r="C138" s="50"/>
      <c r="D138" s="50"/>
      <c r="E138" s="51"/>
      <c r="F138" s="50"/>
      <c r="G138" s="50"/>
      <c r="H138" s="50"/>
    </row>
    <row r="139" spans="1:8" ht="31.5" customHeight="1" x14ac:dyDescent="0.35">
      <c r="A139" s="40" t="s">
        <v>113</v>
      </c>
      <c r="B139" s="46" t="s">
        <v>3</v>
      </c>
      <c r="C139" s="47"/>
      <c r="D139" s="47"/>
      <c r="E139" s="48"/>
      <c r="F139" s="47"/>
      <c r="G139" s="47"/>
      <c r="H139" s="47"/>
    </row>
    <row r="140" spans="1:8" ht="31.5" customHeight="1" x14ac:dyDescent="0.35">
      <c r="A140" s="42" t="s">
        <v>114</v>
      </c>
      <c r="B140" s="49" t="s">
        <v>9</v>
      </c>
      <c r="C140" s="50"/>
      <c r="D140" s="50"/>
      <c r="E140" s="51"/>
      <c r="F140" s="50"/>
      <c r="G140" s="50"/>
      <c r="H140" s="50"/>
    </row>
    <row r="141" spans="1:8" ht="31.5" customHeight="1" x14ac:dyDescent="0.35">
      <c r="A141" s="40" t="s">
        <v>115</v>
      </c>
      <c r="B141" s="46" t="s">
        <v>9</v>
      </c>
      <c r="C141" s="47"/>
      <c r="D141" s="47"/>
      <c r="E141" s="48"/>
      <c r="F141" s="47"/>
      <c r="G141" s="47"/>
      <c r="H141" s="47"/>
    </row>
    <row r="142" spans="1:8" ht="21.75" customHeight="1" x14ac:dyDescent="0.35">
      <c r="A142" s="86" t="s">
        <v>116</v>
      </c>
      <c r="B142" s="86"/>
      <c r="C142" s="86"/>
      <c r="D142" s="86"/>
      <c r="E142" s="86"/>
      <c r="F142" s="86"/>
      <c r="G142" s="86"/>
      <c r="H142" s="86"/>
    </row>
    <row r="144" spans="1:8" ht="19.5" customHeight="1" x14ac:dyDescent="0.35">
      <c r="A144" s="82" t="s">
        <v>324</v>
      </c>
      <c r="B144" s="82"/>
      <c r="C144" s="82"/>
      <c r="D144" s="82"/>
      <c r="E144" s="82"/>
      <c r="F144" s="82"/>
      <c r="G144" s="82"/>
      <c r="H144" s="82"/>
    </row>
    <row r="145" spans="1:8" ht="18" customHeight="1" x14ac:dyDescent="0.35">
      <c r="A145" s="44" t="s">
        <v>49</v>
      </c>
      <c r="B145" s="44" t="s">
        <v>50</v>
      </c>
      <c r="C145" s="83" t="s">
        <v>97</v>
      </c>
      <c r="D145" s="83"/>
      <c r="E145" s="83" t="s">
        <v>98</v>
      </c>
      <c r="F145" s="83"/>
      <c r="G145" s="83" t="s">
        <v>99</v>
      </c>
      <c r="H145" s="83"/>
    </row>
    <row r="146" spans="1:8" ht="25.5" customHeight="1" x14ac:dyDescent="0.35">
      <c r="A146" s="35" t="s">
        <v>3</v>
      </c>
      <c r="B146" s="45"/>
      <c r="C146" s="84"/>
      <c r="D146" s="84"/>
      <c r="E146" s="84"/>
      <c r="F146" s="84"/>
      <c r="G146" s="85" t="s">
        <v>100</v>
      </c>
      <c r="H146" s="85"/>
    </row>
    <row r="147" spans="1:8" ht="25.5" customHeight="1" x14ac:dyDescent="0.35">
      <c r="A147" s="37" t="s">
        <v>5</v>
      </c>
      <c r="B147" s="45"/>
      <c r="C147" s="84"/>
      <c r="D147" s="84"/>
      <c r="E147" s="84"/>
      <c r="F147" s="84"/>
      <c r="G147" s="85" t="s">
        <v>101</v>
      </c>
      <c r="H147" s="85"/>
    </row>
    <row r="148" spans="1:8" ht="25.5" customHeight="1" x14ac:dyDescent="0.35">
      <c r="A148" s="38" t="s">
        <v>7</v>
      </c>
      <c r="B148" s="45"/>
      <c r="C148" s="84"/>
      <c r="D148" s="84"/>
      <c r="E148" s="84"/>
      <c r="F148" s="84"/>
      <c r="G148" s="85" t="s">
        <v>102</v>
      </c>
      <c r="H148" s="85"/>
    </row>
    <row r="149" spans="1:8" ht="25.5" customHeight="1" x14ac:dyDescent="0.35">
      <c r="A149" s="39" t="s">
        <v>9</v>
      </c>
      <c r="B149" s="45"/>
      <c r="C149" s="84"/>
      <c r="D149" s="84"/>
      <c r="E149" s="84"/>
      <c r="F149" s="84"/>
      <c r="G149" s="85" t="s">
        <v>103</v>
      </c>
      <c r="H149" s="85"/>
    </row>
    <row r="150" spans="1:8" ht="19.5" customHeight="1" x14ac:dyDescent="0.35">
      <c r="A150" s="34" t="s">
        <v>104</v>
      </c>
      <c r="B150" s="34" t="s">
        <v>105</v>
      </c>
      <c r="C150" s="34" t="s">
        <v>106</v>
      </c>
      <c r="D150" s="34" t="s">
        <v>107</v>
      </c>
      <c r="E150" s="34" t="s">
        <v>50</v>
      </c>
      <c r="F150" s="34" t="s">
        <v>108</v>
      </c>
      <c r="G150" s="34" t="s">
        <v>109</v>
      </c>
      <c r="H150" s="34" t="s">
        <v>110</v>
      </c>
    </row>
    <row r="151" spans="1:8" ht="31.5" customHeight="1" x14ac:dyDescent="0.35">
      <c r="A151" s="40" t="s">
        <v>111</v>
      </c>
      <c r="B151" s="46" t="s">
        <v>5</v>
      </c>
      <c r="C151" s="47"/>
      <c r="D151" s="47"/>
      <c r="E151" s="48"/>
      <c r="F151" s="47"/>
      <c r="G151" s="47"/>
      <c r="H151" s="47"/>
    </row>
    <row r="152" spans="1:8" ht="31.5" customHeight="1" x14ac:dyDescent="0.35">
      <c r="A152" s="42" t="s">
        <v>112</v>
      </c>
      <c r="B152" s="49" t="s">
        <v>7</v>
      </c>
      <c r="C152" s="50"/>
      <c r="D152" s="50"/>
      <c r="E152" s="51"/>
      <c r="F152" s="50"/>
      <c r="G152" s="50"/>
      <c r="H152" s="50"/>
    </row>
    <row r="153" spans="1:8" ht="31.5" customHeight="1" x14ac:dyDescent="0.35">
      <c r="A153" s="40" t="s">
        <v>113</v>
      </c>
      <c r="B153" s="46" t="s">
        <v>3</v>
      </c>
      <c r="C153" s="47"/>
      <c r="D153" s="47"/>
      <c r="E153" s="48"/>
      <c r="F153" s="47"/>
      <c r="G153" s="47"/>
      <c r="H153" s="47"/>
    </row>
    <row r="154" spans="1:8" ht="31.5" customHeight="1" x14ac:dyDescent="0.35">
      <c r="A154" s="42" t="s">
        <v>114</v>
      </c>
      <c r="B154" s="49" t="s">
        <v>9</v>
      </c>
      <c r="C154" s="50"/>
      <c r="D154" s="50"/>
      <c r="E154" s="51"/>
      <c r="F154" s="50"/>
      <c r="G154" s="50"/>
      <c r="H154" s="50"/>
    </row>
    <row r="155" spans="1:8" ht="31.5" customHeight="1" x14ac:dyDescent="0.35">
      <c r="A155" s="40" t="s">
        <v>115</v>
      </c>
      <c r="B155" s="46" t="s">
        <v>9</v>
      </c>
      <c r="C155" s="47"/>
      <c r="D155" s="47"/>
      <c r="E155" s="48"/>
      <c r="F155" s="47"/>
      <c r="G155" s="47"/>
      <c r="H155" s="47"/>
    </row>
    <row r="156" spans="1:8" ht="21.75" customHeight="1" x14ac:dyDescent="0.35">
      <c r="A156" s="86" t="s">
        <v>116</v>
      </c>
      <c r="B156" s="86"/>
      <c r="C156" s="86"/>
      <c r="D156" s="86"/>
      <c r="E156" s="86"/>
      <c r="F156" s="86"/>
      <c r="G156" s="86"/>
      <c r="H156" s="86"/>
    </row>
    <row r="158" spans="1:8" ht="19.5" customHeight="1" x14ac:dyDescent="0.35">
      <c r="A158" s="82" t="s">
        <v>325</v>
      </c>
      <c r="B158" s="82"/>
      <c r="C158" s="82"/>
      <c r="D158" s="82"/>
      <c r="E158" s="82"/>
      <c r="F158" s="82"/>
      <c r="G158" s="82"/>
      <c r="H158" s="82"/>
    </row>
    <row r="159" spans="1:8" ht="18" customHeight="1" x14ac:dyDescent="0.35">
      <c r="A159" s="44" t="s">
        <v>49</v>
      </c>
      <c r="B159" s="44" t="s">
        <v>50</v>
      </c>
      <c r="C159" s="83" t="s">
        <v>97</v>
      </c>
      <c r="D159" s="83"/>
      <c r="E159" s="83" t="s">
        <v>98</v>
      </c>
      <c r="F159" s="83"/>
      <c r="G159" s="83" t="s">
        <v>99</v>
      </c>
      <c r="H159" s="83"/>
    </row>
    <row r="160" spans="1:8" ht="25.5" customHeight="1" x14ac:dyDescent="0.35">
      <c r="A160" s="35" t="s">
        <v>3</v>
      </c>
      <c r="B160" s="45"/>
      <c r="C160" s="84"/>
      <c r="D160" s="84"/>
      <c r="E160" s="84"/>
      <c r="F160" s="84"/>
      <c r="G160" s="85" t="s">
        <v>100</v>
      </c>
      <c r="H160" s="85"/>
    </row>
    <row r="161" spans="1:8" ht="25.5" customHeight="1" x14ac:dyDescent="0.35">
      <c r="A161" s="37" t="s">
        <v>5</v>
      </c>
      <c r="B161" s="45"/>
      <c r="C161" s="84"/>
      <c r="D161" s="84"/>
      <c r="E161" s="84"/>
      <c r="F161" s="84"/>
      <c r="G161" s="85" t="s">
        <v>101</v>
      </c>
      <c r="H161" s="85"/>
    </row>
    <row r="162" spans="1:8" ht="25.5" customHeight="1" x14ac:dyDescent="0.35">
      <c r="A162" s="38" t="s">
        <v>7</v>
      </c>
      <c r="B162" s="45"/>
      <c r="C162" s="84"/>
      <c r="D162" s="84"/>
      <c r="E162" s="84"/>
      <c r="F162" s="84"/>
      <c r="G162" s="85" t="s">
        <v>102</v>
      </c>
      <c r="H162" s="85"/>
    </row>
    <row r="163" spans="1:8" ht="25.5" customHeight="1" x14ac:dyDescent="0.35">
      <c r="A163" s="39" t="s">
        <v>9</v>
      </c>
      <c r="B163" s="45"/>
      <c r="C163" s="84"/>
      <c r="D163" s="84"/>
      <c r="E163" s="84"/>
      <c r="F163" s="84"/>
      <c r="G163" s="85" t="s">
        <v>103</v>
      </c>
      <c r="H163" s="85"/>
    </row>
    <row r="164" spans="1:8" ht="19.5" customHeight="1" x14ac:dyDescent="0.35">
      <c r="A164" s="34" t="s">
        <v>104</v>
      </c>
      <c r="B164" s="34" t="s">
        <v>105</v>
      </c>
      <c r="C164" s="34" t="s">
        <v>106</v>
      </c>
      <c r="D164" s="34" t="s">
        <v>107</v>
      </c>
      <c r="E164" s="34" t="s">
        <v>50</v>
      </c>
      <c r="F164" s="34" t="s">
        <v>108</v>
      </c>
      <c r="G164" s="34" t="s">
        <v>109</v>
      </c>
      <c r="H164" s="34" t="s">
        <v>110</v>
      </c>
    </row>
    <row r="165" spans="1:8" ht="31.5" customHeight="1" x14ac:dyDescent="0.35">
      <c r="A165" s="40" t="s">
        <v>111</v>
      </c>
      <c r="B165" s="46" t="s">
        <v>5</v>
      </c>
      <c r="C165" s="47"/>
      <c r="D165" s="47"/>
      <c r="E165" s="48"/>
      <c r="F165" s="47"/>
      <c r="G165" s="47"/>
      <c r="H165" s="47"/>
    </row>
    <row r="166" spans="1:8" ht="31.5" customHeight="1" x14ac:dyDescent="0.35">
      <c r="A166" s="42" t="s">
        <v>112</v>
      </c>
      <c r="B166" s="49" t="s">
        <v>7</v>
      </c>
      <c r="C166" s="50"/>
      <c r="D166" s="50"/>
      <c r="E166" s="51"/>
      <c r="F166" s="50"/>
      <c r="G166" s="50"/>
      <c r="H166" s="50"/>
    </row>
    <row r="167" spans="1:8" ht="31.5" customHeight="1" x14ac:dyDescent="0.35">
      <c r="A167" s="40" t="s">
        <v>113</v>
      </c>
      <c r="B167" s="46" t="s">
        <v>3</v>
      </c>
      <c r="C167" s="47"/>
      <c r="D167" s="47"/>
      <c r="E167" s="48"/>
      <c r="F167" s="47"/>
      <c r="G167" s="47"/>
      <c r="H167" s="47"/>
    </row>
    <row r="168" spans="1:8" ht="31.5" customHeight="1" x14ac:dyDescent="0.35">
      <c r="A168" s="42" t="s">
        <v>114</v>
      </c>
      <c r="B168" s="49" t="s">
        <v>9</v>
      </c>
      <c r="C168" s="50"/>
      <c r="D168" s="50"/>
      <c r="E168" s="51"/>
      <c r="F168" s="50"/>
      <c r="G168" s="50"/>
      <c r="H168" s="50"/>
    </row>
    <row r="169" spans="1:8" ht="31.5" customHeight="1" x14ac:dyDescent="0.35">
      <c r="A169" s="40" t="s">
        <v>115</v>
      </c>
      <c r="B169" s="46" t="s">
        <v>9</v>
      </c>
      <c r="C169" s="47"/>
      <c r="D169" s="47"/>
      <c r="E169" s="48"/>
      <c r="F169" s="47"/>
      <c r="G169" s="47"/>
      <c r="H169" s="47"/>
    </row>
    <row r="170" spans="1:8" ht="21.75" customHeight="1" x14ac:dyDescent="0.35">
      <c r="A170" s="86" t="s">
        <v>116</v>
      </c>
      <c r="B170" s="86"/>
      <c r="C170" s="86"/>
      <c r="D170" s="86"/>
      <c r="E170" s="86"/>
      <c r="F170" s="86"/>
      <c r="G170" s="86"/>
      <c r="H170" s="86"/>
    </row>
    <row r="172" spans="1:8" ht="19.5" customHeight="1" x14ac:dyDescent="0.35">
      <c r="A172" s="82" t="s">
        <v>326</v>
      </c>
      <c r="B172" s="82"/>
      <c r="C172" s="82"/>
      <c r="D172" s="82"/>
      <c r="E172" s="82"/>
      <c r="F172" s="82"/>
      <c r="G172" s="82"/>
      <c r="H172" s="82"/>
    </row>
    <row r="173" spans="1:8" ht="18" customHeight="1" x14ac:dyDescent="0.35">
      <c r="A173" s="44" t="s">
        <v>49</v>
      </c>
      <c r="B173" s="44" t="s">
        <v>50</v>
      </c>
      <c r="C173" s="83" t="s">
        <v>97</v>
      </c>
      <c r="D173" s="83"/>
      <c r="E173" s="83" t="s">
        <v>98</v>
      </c>
      <c r="F173" s="83"/>
      <c r="G173" s="83" t="s">
        <v>99</v>
      </c>
      <c r="H173" s="83"/>
    </row>
    <row r="174" spans="1:8" ht="25.5" customHeight="1" x14ac:dyDescent="0.35">
      <c r="A174" s="35" t="s">
        <v>3</v>
      </c>
      <c r="B174" s="45"/>
      <c r="C174" s="84"/>
      <c r="D174" s="84"/>
      <c r="E174" s="84"/>
      <c r="F174" s="84"/>
      <c r="G174" s="85" t="s">
        <v>100</v>
      </c>
      <c r="H174" s="85"/>
    </row>
    <row r="175" spans="1:8" ht="25.5" customHeight="1" x14ac:dyDescent="0.35">
      <c r="A175" s="37" t="s">
        <v>5</v>
      </c>
      <c r="B175" s="45"/>
      <c r="C175" s="84"/>
      <c r="D175" s="84"/>
      <c r="E175" s="84"/>
      <c r="F175" s="84"/>
      <c r="G175" s="85" t="s">
        <v>101</v>
      </c>
      <c r="H175" s="85"/>
    </row>
    <row r="176" spans="1:8" ht="25.5" customHeight="1" x14ac:dyDescent="0.35">
      <c r="A176" s="38" t="s">
        <v>7</v>
      </c>
      <c r="B176" s="45"/>
      <c r="C176" s="84"/>
      <c r="D176" s="84"/>
      <c r="E176" s="84"/>
      <c r="F176" s="84"/>
      <c r="G176" s="85" t="s">
        <v>102</v>
      </c>
      <c r="H176" s="85"/>
    </row>
    <row r="177" spans="1:8" ht="25.5" customHeight="1" x14ac:dyDescent="0.35">
      <c r="A177" s="39" t="s">
        <v>9</v>
      </c>
      <c r="B177" s="45"/>
      <c r="C177" s="84"/>
      <c r="D177" s="84"/>
      <c r="E177" s="84"/>
      <c r="F177" s="84"/>
      <c r="G177" s="85" t="s">
        <v>103</v>
      </c>
      <c r="H177" s="85"/>
    </row>
    <row r="178" spans="1:8" ht="19.5" customHeight="1" x14ac:dyDescent="0.35">
      <c r="A178" s="34" t="s">
        <v>104</v>
      </c>
      <c r="B178" s="34" t="s">
        <v>105</v>
      </c>
      <c r="C178" s="34" t="s">
        <v>106</v>
      </c>
      <c r="D178" s="34" t="s">
        <v>107</v>
      </c>
      <c r="E178" s="34" t="s">
        <v>50</v>
      </c>
      <c r="F178" s="34" t="s">
        <v>108</v>
      </c>
      <c r="G178" s="34" t="s">
        <v>109</v>
      </c>
      <c r="H178" s="34" t="s">
        <v>110</v>
      </c>
    </row>
    <row r="179" spans="1:8" ht="31.5" customHeight="1" x14ac:dyDescent="0.35">
      <c r="A179" s="40" t="s">
        <v>111</v>
      </c>
      <c r="B179" s="46" t="s">
        <v>5</v>
      </c>
      <c r="C179" s="47"/>
      <c r="D179" s="47"/>
      <c r="E179" s="48"/>
      <c r="F179" s="47"/>
      <c r="G179" s="47"/>
      <c r="H179" s="47"/>
    </row>
    <row r="180" spans="1:8" ht="31.5" customHeight="1" x14ac:dyDescent="0.35">
      <c r="A180" s="42" t="s">
        <v>112</v>
      </c>
      <c r="B180" s="49" t="s">
        <v>7</v>
      </c>
      <c r="C180" s="50"/>
      <c r="D180" s="50"/>
      <c r="E180" s="51"/>
      <c r="F180" s="50"/>
      <c r="G180" s="50"/>
      <c r="H180" s="50"/>
    </row>
    <row r="181" spans="1:8" ht="31.5" customHeight="1" x14ac:dyDescent="0.35">
      <c r="A181" s="40" t="s">
        <v>113</v>
      </c>
      <c r="B181" s="46" t="s">
        <v>3</v>
      </c>
      <c r="C181" s="47"/>
      <c r="D181" s="47"/>
      <c r="E181" s="48"/>
      <c r="F181" s="47"/>
      <c r="G181" s="47"/>
      <c r="H181" s="47"/>
    </row>
    <row r="182" spans="1:8" ht="31.5" customHeight="1" x14ac:dyDescent="0.35">
      <c r="A182" s="42" t="s">
        <v>114</v>
      </c>
      <c r="B182" s="49" t="s">
        <v>9</v>
      </c>
      <c r="C182" s="50"/>
      <c r="D182" s="50"/>
      <c r="E182" s="51"/>
      <c r="F182" s="50"/>
      <c r="G182" s="50"/>
      <c r="H182" s="50"/>
    </row>
    <row r="183" spans="1:8" ht="31.5" customHeight="1" x14ac:dyDescent="0.35">
      <c r="A183" s="40" t="s">
        <v>115</v>
      </c>
      <c r="B183" s="46" t="s">
        <v>9</v>
      </c>
      <c r="C183" s="47"/>
      <c r="D183" s="47"/>
      <c r="E183" s="48"/>
      <c r="F183" s="47"/>
      <c r="G183" s="47"/>
      <c r="H183" s="47"/>
    </row>
    <row r="184" spans="1:8" ht="21.75" customHeight="1" x14ac:dyDescent="0.35">
      <c r="A184" s="86" t="s">
        <v>116</v>
      </c>
      <c r="B184" s="86"/>
      <c r="C184" s="86"/>
      <c r="D184" s="86"/>
      <c r="E184" s="86"/>
      <c r="F184" s="86"/>
      <c r="G184" s="86"/>
      <c r="H184" s="86"/>
    </row>
  </sheetData>
  <mergeCells count="223">
    <mergeCell ref="A184:H184"/>
    <mergeCell ref="C175:D175"/>
    <mergeCell ref="E175:F175"/>
    <mergeCell ref="G175:H175"/>
    <mergeCell ref="C176:D176"/>
    <mergeCell ref="E176:F176"/>
    <mergeCell ref="G176:H176"/>
    <mergeCell ref="C177:D177"/>
    <mergeCell ref="E177:F177"/>
    <mergeCell ref="G177:H177"/>
    <mergeCell ref="C163:D163"/>
    <mergeCell ref="E163:F163"/>
    <mergeCell ref="G163:H163"/>
    <mergeCell ref="A170:H170"/>
    <mergeCell ref="A172:H172"/>
    <mergeCell ref="C173:D173"/>
    <mergeCell ref="E173:F173"/>
    <mergeCell ref="G173:H173"/>
    <mergeCell ref="C174:D174"/>
    <mergeCell ref="E174:F174"/>
    <mergeCell ref="G174:H174"/>
    <mergeCell ref="C160:D160"/>
    <mergeCell ref="E160:F160"/>
    <mergeCell ref="G160:H160"/>
    <mergeCell ref="C161:D161"/>
    <mergeCell ref="E161:F161"/>
    <mergeCell ref="G161:H161"/>
    <mergeCell ref="C162:D162"/>
    <mergeCell ref="E162:F162"/>
    <mergeCell ref="G162:H162"/>
    <mergeCell ref="C148:D148"/>
    <mergeCell ref="E148:F148"/>
    <mergeCell ref="G148:H148"/>
    <mergeCell ref="C149:D149"/>
    <mergeCell ref="E149:F149"/>
    <mergeCell ref="G149:H149"/>
    <mergeCell ref="A156:H156"/>
    <mergeCell ref="A158:H158"/>
    <mergeCell ref="C159:D159"/>
    <mergeCell ref="E159:F159"/>
    <mergeCell ref="G159:H159"/>
    <mergeCell ref="A142:H142"/>
    <mergeCell ref="A144:H144"/>
    <mergeCell ref="C145:D145"/>
    <mergeCell ref="E145:F145"/>
    <mergeCell ref="G145:H145"/>
    <mergeCell ref="C146:D146"/>
    <mergeCell ref="E146:F146"/>
    <mergeCell ref="G146:H146"/>
    <mergeCell ref="C147:D147"/>
    <mergeCell ref="E147:F147"/>
    <mergeCell ref="G147:H147"/>
    <mergeCell ref="C133:D133"/>
    <mergeCell ref="E133:F133"/>
    <mergeCell ref="G133:H133"/>
    <mergeCell ref="C134:D134"/>
    <mergeCell ref="E134:F134"/>
    <mergeCell ref="G134:H134"/>
    <mergeCell ref="C135:D135"/>
    <mergeCell ref="E135:F135"/>
    <mergeCell ref="G135:H135"/>
    <mergeCell ref="C121:D121"/>
    <mergeCell ref="E121:F121"/>
    <mergeCell ref="G121:H121"/>
    <mergeCell ref="A128:H128"/>
    <mergeCell ref="A130:H130"/>
    <mergeCell ref="C131:D131"/>
    <mergeCell ref="E131:F131"/>
    <mergeCell ref="G131:H131"/>
    <mergeCell ref="C132:D132"/>
    <mergeCell ref="E132:F132"/>
    <mergeCell ref="G132:H132"/>
    <mergeCell ref="C118:D118"/>
    <mergeCell ref="E118:F118"/>
    <mergeCell ref="G118:H118"/>
    <mergeCell ref="C119:D119"/>
    <mergeCell ref="E119:F119"/>
    <mergeCell ref="G119:H119"/>
    <mergeCell ref="C120:D120"/>
    <mergeCell ref="E120:F120"/>
    <mergeCell ref="G120:H120"/>
    <mergeCell ref="C106:D106"/>
    <mergeCell ref="E106:F106"/>
    <mergeCell ref="G106:H106"/>
    <mergeCell ref="C107:D107"/>
    <mergeCell ref="E107:F107"/>
    <mergeCell ref="G107:H107"/>
    <mergeCell ref="A114:H114"/>
    <mergeCell ref="A116:H116"/>
    <mergeCell ref="C117:D117"/>
    <mergeCell ref="E117:F117"/>
    <mergeCell ref="G117:H117"/>
    <mergeCell ref="A100:H100"/>
    <mergeCell ref="A102:H102"/>
    <mergeCell ref="C103:D103"/>
    <mergeCell ref="E103:F103"/>
    <mergeCell ref="G103:H103"/>
    <mergeCell ref="C104:D104"/>
    <mergeCell ref="E104:F104"/>
    <mergeCell ref="G104:H104"/>
    <mergeCell ref="C105:D105"/>
    <mergeCell ref="E105:F105"/>
    <mergeCell ref="G105:H105"/>
    <mergeCell ref="C91:D91"/>
    <mergeCell ref="E91:F91"/>
    <mergeCell ref="G91:H91"/>
    <mergeCell ref="C92:D92"/>
    <mergeCell ref="E92:F92"/>
    <mergeCell ref="G92:H92"/>
    <mergeCell ref="C93:D93"/>
    <mergeCell ref="E93:F93"/>
    <mergeCell ref="G93:H93"/>
    <mergeCell ref="C79:D79"/>
    <mergeCell ref="E79:F79"/>
    <mergeCell ref="G79:H79"/>
    <mergeCell ref="A86:H86"/>
    <mergeCell ref="A88:H88"/>
    <mergeCell ref="C89:D89"/>
    <mergeCell ref="E89:F89"/>
    <mergeCell ref="G89:H89"/>
    <mergeCell ref="C90:D90"/>
    <mergeCell ref="E90:F90"/>
    <mergeCell ref="G90:H90"/>
    <mergeCell ref="C76:D76"/>
    <mergeCell ref="E76:F76"/>
    <mergeCell ref="G76:H76"/>
    <mergeCell ref="C77:D77"/>
    <mergeCell ref="E77:F77"/>
    <mergeCell ref="G77:H77"/>
    <mergeCell ref="C78:D78"/>
    <mergeCell ref="E78:F78"/>
    <mergeCell ref="G78:H78"/>
    <mergeCell ref="C64:D64"/>
    <mergeCell ref="E64:F64"/>
    <mergeCell ref="G64:H64"/>
    <mergeCell ref="C65:D65"/>
    <mergeCell ref="E65:F65"/>
    <mergeCell ref="G65:H65"/>
    <mergeCell ref="A72:H72"/>
    <mergeCell ref="A74:H74"/>
    <mergeCell ref="C75:D75"/>
    <mergeCell ref="E75:F75"/>
    <mergeCell ref="G75:H75"/>
    <mergeCell ref="A58:H58"/>
    <mergeCell ref="A60:H60"/>
    <mergeCell ref="C61:D61"/>
    <mergeCell ref="E61:F61"/>
    <mergeCell ref="G61:H61"/>
    <mergeCell ref="C62:D62"/>
    <mergeCell ref="E62:F62"/>
    <mergeCell ref="G62:H62"/>
    <mergeCell ref="C63:D63"/>
    <mergeCell ref="E63:F63"/>
    <mergeCell ref="G63:H63"/>
    <mergeCell ref="C49:D49"/>
    <mergeCell ref="E49:F49"/>
    <mergeCell ref="G49:H49"/>
    <mergeCell ref="C50:D50"/>
    <mergeCell ref="E50:F50"/>
    <mergeCell ref="G50:H50"/>
    <mergeCell ref="C51:D51"/>
    <mergeCell ref="E51:F51"/>
    <mergeCell ref="G51:H51"/>
    <mergeCell ref="C37:D37"/>
    <mergeCell ref="E37:F37"/>
    <mergeCell ref="G37:H37"/>
    <mergeCell ref="A44:H44"/>
    <mergeCell ref="A46:H46"/>
    <mergeCell ref="C47:D47"/>
    <mergeCell ref="E47:F47"/>
    <mergeCell ref="G47:H47"/>
    <mergeCell ref="C48:D48"/>
    <mergeCell ref="E48:F48"/>
    <mergeCell ref="G48:H48"/>
    <mergeCell ref="C34:D34"/>
    <mergeCell ref="E34:F34"/>
    <mergeCell ref="G34:H34"/>
    <mergeCell ref="C35:D35"/>
    <mergeCell ref="E35:F35"/>
    <mergeCell ref="G35:H35"/>
    <mergeCell ref="C36:D36"/>
    <mergeCell ref="E36:F36"/>
    <mergeCell ref="G36:H36"/>
    <mergeCell ref="C22:D22"/>
    <mergeCell ref="E22:F22"/>
    <mergeCell ref="G22:H22"/>
    <mergeCell ref="C23:D23"/>
    <mergeCell ref="E23:F23"/>
    <mergeCell ref="G23:H23"/>
    <mergeCell ref="A30:H30"/>
    <mergeCell ref="A32:H32"/>
    <mergeCell ref="C33:D33"/>
    <mergeCell ref="E33:F33"/>
    <mergeCell ref="G33:H33"/>
    <mergeCell ref="A16:H16"/>
    <mergeCell ref="A18:H18"/>
    <mergeCell ref="C19:D19"/>
    <mergeCell ref="E19:F19"/>
    <mergeCell ref="G19:H19"/>
    <mergeCell ref="C20:D20"/>
    <mergeCell ref="E20:F20"/>
    <mergeCell ref="G20:H20"/>
    <mergeCell ref="C21:D21"/>
    <mergeCell ref="E21:F21"/>
    <mergeCell ref="G21:H21"/>
    <mergeCell ref="C7:D7"/>
    <mergeCell ref="E7:F7"/>
    <mergeCell ref="G7:H7"/>
    <mergeCell ref="C8:D8"/>
    <mergeCell ref="E8:F8"/>
    <mergeCell ref="G8:H8"/>
    <mergeCell ref="C9:D9"/>
    <mergeCell ref="E9:F9"/>
    <mergeCell ref="G9:H9"/>
    <mergeCell ref="A1:H1"/>
    <mergeCell ref="A2:H2"/>
    <mergeCell ref="A4:H4"/>
    <mergeCell ref="C5:D5"/>
    <mergeCell ref="E5:F5"/>
    <mergeCell ref="G5:H5"/>
    <mergeCell ref="C6:D6"/>
    <mergeCell ref="E6:F6"/>
    <mergeCell ref="G6:H6"/>
  </mergeCells>
  <conditionalFormatting sqref="B6:B9">
    <cfRule type="cellIs" dxfId="211" priority="2" operator="equal">
      <formula>"Green"</formula>
    </cfRule>
    <cfRule type="cellIs" dxfId="210" priority="3" operator="equal">
      <formula>"Amber"</formula>
    </cfRule>
    <cfRule type="cellIs" dxfId="209" priority="4" operator="equal">
      <formula>"Red"</formula>
    </cfRule>
    <cfRule type="cellIs" dxfId="208" priority="5" operator="equal">
      <formula>"Done"</formula>
    </cfRule>
    <cfRule type="cellIs" dxfId="207" priority="6" operator="equal">
      <formula>"Not Started"</formula>
    </cfRule>
  </conditionalFormatting>
  <conditionalFormatting sqref="B11:B15">
    <cfRule type="cellIs" dxfId="206" priority="7" operator="equal">
      <formula>"Programmes"</formula>
    </cfRule>
    <cfRule type="cellIs" dxfId="205" priority="8" operator="equal">
      <formula>"Partnerships"</formula>
    </cfRule>
    <cfRule type="cellIs" dxfId="204" priority="9" operator="equal">
      <formula>"Revenue"</formula>
    </cfRule>
    <cfRule type="cellIs" dxfId="203" priority="10" operator="equal">
      <formula>"Team"</formula>
    </cfRule>
  </conditionalFormatting>
  <conditionalFormatting sqref="E11:E15">
    <cfRule type="cellIs" dxfId="202" priority="11" operator="equal">
      <formula>"Green"</formula>
    </cfRule>
    <cfRule type="cellIs" dxfId="201" priority="12" operator="equal">
      <formula>"Amber"</formula>
    </cfRule>
    <cfRule type="cellIs" dxfId="200" priority="13" operator="equal">
      <formula>"Red"</formula>
    </cfRule>
    <cfRule type="cellIs" dxfId="199" priority="14" operator="equal">
      <formula>"Done"</formula>
    </cfRule>
    <cfRule type="cellIs" dxfId="198" priority="15" operator="equal">
      <formula>"Not Started"</formula>
    </cfRule>
  </conditionalFormatting>
  <conditionalFormatting sqref="B20:B23">
    <cfRule type="cellIs" dxfId="197" priority="16" operator="equal">
      <formula>"Green"</formula>
    </cfRule>
    <cfRule type="cellIs" dxfId="196" priority="17" operator="equal">
      <formula>"Amber"</formula>
    </cfRule>
    <cfRule type="cellIs" dxfId="195" priority="18" operator="equal">
      <formula>"Red"</formula>
    </cfRule>
    <cfRule type="cellIs" dxfId="194" priority="19" operator="equal">
      <formula>"Done"</formula>
    </cfRule>
    <cfRule type="cellIs" dxfId="193" priority="20" operator="equal">
      <formula>"Not Started"</formula>
    </cfRule>
  </conditionalFormatting>
  <conditionalFormatting sqref="B25:B29">
    <cfRule type="cellIs" dxfId="192" priority="21" operator="equal">
      <formula>"Programmes"</formula>
    </cfRule>
    <cfRule type="cellIs" dxfId="191" priority="22" operator="equal">
      <formula>"Partnerships"</formula>
    </cfRule>
    <cfRule type="cellIs" dxfId="190" priority="23" operator="equal">
      <formula>"Revenue"</formula>
    </cfRule>
    <cfRule type="cellIs" dxfId="189" priority="24" operator="equal">
      <formula>"Team"</formula>
    </cfRule>
  </conditionalFormatting>
  <conditionalFormatting sqref="E25:E29">
    <cfRule type="cellIs" dxfId="188" priority="25" operator="equal">
      <formula>"Green"</formula>
    </cfRule>
    <cfRule type="cellIs" dxfId="187" priority="26" operator="equal">
      <formula>"Amber"</formula>
    </cfRule>
    <cfRule type="cellIs" dxfId="186" priority="27" operator="equal">
      <formula>"Red"</formula>
    </cfRule>
    <cfRule type="cellIs" dxfId="185" priority="28" operator="equal">
      <formula>"Done"</formula>
    </cfRule>
    <cfRule type="cellIs" dxfId="184" priority="29" operator="equal">
      <formula>"Not Started"</formula>
    </cfRule>
  </conditionalFormatting>
  <conditionalFormatting sqref="B34:B37">
    <cfRule type="cellIs" dxfId="183" priority="30" operator="equal">
      <formula>"Green"</formula>
    </cfRule>
    <cfRule type="cellIs" dxfId="182" priority="31" operator="equal">
      <formula>"Amber"</formula>
    </cfRule>
    <cfRule type="cellIs" dxfId="181" priority="32" operator="equal">
      <formula>"Red"</formula>
    </cfRule>
    <cfRule type="cellIs" dxfId="180" priority="33" operator="equal">
      <formula>"Done"</formula>
    </cfRule>
    <cfRule type="cellIs" dxfId="179" priority="34" operator="equal">
      <formula>"Not Started"</formula>
    </cfRule>
  </conditionalFormatting>
  <conditionalFormatting sqref="B39:B43">
    <cfRule type="cellIs" dxfId="178" priority="35" operator="equal">
      <formula>"Programmes"</formula>
    </cfRule>
    <cfRule type="cellIs" dxfId="177" priority="36" operator="equal">
      <formula>"Partnerships"</formula>
    </cfRule>
    <cfRule type="cellIs" dxfId="176" priority="37" operator="equal">
      <formula>"Revenue"</formula>
    </cfRule>
    <cfRule type="cellIs" dxfId="175" priority="38" operator="equal">
      <formula>"Team"</formula>
    </cfRule>
  </conditionalFormatting>
  <conditionalFormatting sqref="E39:E43">
    <cfRule type="cellIs" dxfId="174" priority="39" operator="equal">
      <formula>"Green"</formula>
    </cfRule>
    <cfRule type="cellIs" dxfId="173" priority="40" operator="equal">
      <formula>"Amber"</formula>
    </cfRule>
    <cfRule type="cellIs" dxfId="172" priority="41" operator="equal">
      <formula>"Red"</formula>
    </cfRule>
    <cfRule type="cellIs" dxfId="171" priority="42" operator="equal">
      <formula>"Done"</formula>
    </cfRule>
    <cfRule type="cellIs" dxfId="170" priority="43" operator="equal">
      <formula>"Not Started"</formula>
    </cfRule>
  </conditionalFormatting>
  <conditionalFormatting sqref="B48:B51">
    <cfRule type="cellIs" dxfId="169" priority="44" operator="equal">
      <formula>"Green"</formula>
    </cfRule>
    <cfRule type="cellIs" dxfId="168" priority="45" operator="equal">
      <formula>"Amber"</formula>
    </cfRule>
    <cfRule type="cellIs" dxfId="167" priority="46" operator="equal">
      <formula>"Red"</formula>
    </cfRule>
    <cfRule type="cellIs" dxfId="166" priority="47" operator="equal">
      <formula>"Done"</formula>
    </cfRule>
    <cfRule type="cellIs" dxfId="165" priority="48" operator="equal">
      <formula>"Not Started"</formula>
    </cfRule>
  </conditionalFormatting>
  <conditionalFormatting sqref="B53:B57">
    <cfRule type="cellIs" dxfId="164" priority="49" operator="equal">
      <formula>"Programmes"</formula>
    </cfRule>
    <cfRule type="cellIs" dxfId="163" priority="50" operator="equal">
      <formula>"Partnerships"</formula>
    </cfRule>
    <cfRule type="cellIs" dxfId="162" priority="51" operator="equal">
      <formula>"Revenue"</formula>
    </cfRule>
    <cfRule type="cellIs" dxfId="161" priority="52" operator="equal">
      <formula>"Team"</formula>
    </cfRule>
  </conditionalFormatting>
  <conditionalFormatting sqref="E53:E57">
    <cfRule type="cellIs" dxfId="160" priority="53" operator="equal">
      <formula>"Green"</formula>
    </cfRule>
    <cfRule type="cellIs" dxfId="159" priority="54" operator="equal">
      <formula>"Amber"</formula>
    </cfRule>
    <cfRule type="cellIs" dxfId="158" priority="55" operator="equal">
      <formula>"Red"</formula>
    </cfRule>
    <cfRule type="cellIs" dxfId="157" priority="56" operator="equal">
      <formula>"Done"</formula>
    </cfRule>
    <cfRule type="cellIs" dxfId="156" priority="57" operator="equal">
      <formula>"Not Started"</formula>
    </cfRule>
  </conditionalFormatting>
  <conditionalFormatting sqref="B62:B65">
    <cfRule type="cellIs" dxfId="155" priority="58" operator="equal">
      <formula>"Green"</formula>
    </cfRule>
    <cfRule type="cellIs" dxfId="154" priority="59" operator="equal">
      <formula>"Amber"</formula>
    </cfRule>
    <cfRule type="cellIs" dxfId="153" priority="60" operator="equal">
      <formula>"Red"</formula>
    </cfRule>
    <cfRule type="cellIs" dxfId="152" priority="61" operator="equal">
      <formula>"Done"</formula>
    </cfRule>
    <cfRule type="cellIs" dxfId="151" priority="62" operator="equal">
      <formula>"Not Started"</formula>
    </cfRule>
  </conditionalFormatting>
  <conditionalFormatting sqref="B67:B71">
    <cfRule type="cellIs" dxfId="150" priority="63" operator="equal">
      <formula>"Programmes"</formula>
    </cfRule>
    <cfRule type="cellIs" dxfId="149" priority="64" operator="equal">
      <formula>"Partnerships"</formula>
    </cfRule>
    <cfRule type="cellIs" dxfId="148" priority="65" operator="equal">
      <formula>"Revenue"</formula>
    </cfRule>
    <cfRule type="cellIs" dxfId="147" priority="66" operator="equal">
      <formula>"Team"</formula>
    </cfRule>
  </conditionalFormatting>
  <conditionalFormatting sqref="E67:E71">
    <cfRule type="cellIs" dxfId="146" priority="67" operator="equal">
      <formula>"Green"</formula>
    </cfRule>
    <cfRule type="cellIs" dxfId="145" priority="68" operator="equal">
      <formula>"Amber"</formula>
    </cfRule>
    <cfRule type="cellIs" dxfId="144" priority="69" operator="equal">
      <formula>"Red"</formula>
    </cfRule>
    <cfRule type="cellIs" dxfId="143" priority="70" operator="equal">
      <formula>"Done"</formula>
    </cfRule>
    <cfRule type="cellIs" dxfId="142" priority="71" operator="equal">
      <formula>"Not Started"</formula>
    </cfRule>
  </conditionalFormatting>
  <conditionalFormatting sqref="B76:B79">
    <cfRule type="cellIs" dxfId="141" priority="72" operator="equal">
      <formula>"Green"</formula>
    </cfRule>
    <cfRule type="cellIs" dxfId="140" priority="73" operator="equal">
      <formula>"Amber"</formula>
    </cfRule>
    <cfRule type="cellIs" dxfId="139" priority="74" operator="equal">
      <formula>"Red"</formula>
    </cfRule>
    <cfRule type="cellIs" dxfId="138" priority="75" operator="equal">
      <formula>"Done"</formula>
    </cfRule>
    <cfRule type="cellIs" dxfId="137" priority="76" operator="equal">
      <formula>"Not Started"</formula>
    </cfRule>
  </conditionalFormatting>
  <conditionalFormatting sqref="B81:B85">
    <cfRule type="cellIs" dxfId="136" priority="77" operator="equal">
      <formula>"Programmes"</formula>
    </cfRule>
    <cfRule type="cellIs" dxfId="135" priority="78" operator="equal">
      <formula>"Partnerships"</formula>
    </cfRule>
    <cfRule type="cellIs" dxfId="134" priority="79" operator="equal">
      <formula>"Revenue"</formula>
    </cfRule>
    <cfRule type="cellIs" dxfId="133" priority="80" operator="equal">
      <formula>"Team"</formula>
    </cfRule>
  </conditionalFormatting>
  <conditionalFormatting sqref="E81:E85">
    <cfRule type="cellIs" dxfId="132" priority="81" operator="equal">
      <formula>"Green"</formula>
    </cfRule>
    <cfRule type="cellIs" dxfId="131" priority="82" operator="equal">
      <formula>"Amber"</formula>
    </cfRule>
    <cfRule type="cellIs" dxfId="130" priority="83" operator="equal">
      <formula>"Red"</formula>
    </cfRule>
    <cfRule type="cellIs" dxfId="129" priority="84" operator="equal">
      <formula>"Done"</formula>
    </cfRule>
    <cfRule type="cellIs" dxfId="128" priority="85" operator="equal">
      <formula>"Not Started"</formula>
    </cfRule>
  </conditionalFormatting>
  <conditionalFormatting sqref="B90:B93">
    <cfRule type="cellIs" dxfId="127" priority="86" operator="equal">
      <formula>"Green"</formula>
    </cfRule>
    <cfRule type="cellIs" dxfId="126" priority="87" operator="equal">
      <formula>"Amber"</formula>
    </cfRule>
    <cfRule type="cellIs" dxfId="125" priority="88" operator="equal">
      <formula>"Red"</formula>
    </cfRule>
    <cfRule type="cellIs" dxfId="124" priority="89" operator="equal">
      <formula>"Done"</formula>
    </cfRule>
    <cfRule type="cellIs" dxfId="123" priority="90" operator="equal">
      <formula>"Not Started"</formula>
    </cfRule>
  </conditionalFormatting>
  <conditionalFormatting sqref="B95:B99">
    <cfRule type="cellIs" dxfId="122" priority="91" operator="equal">
      <formula>"Programmes"</formula>
    </cfRule>
    <cfRule type="cellIs" dxfId="121" priority="92" operator="equal">
      <formula>"Partnerships"</formula>
    </cfRule>
    <cfRule type="cellIs" dxfId="120" priority="93" operator="equal">
      <formula>"Revenue"</formula>
    </cfRule>
    <cfRule type="cellIs" dxfId="119" priority="94" operator="equal">
      <formula>"Team"</formula>
    </cfRule>
  </conditionalFormatting>
  <conditionalFormatting sqref="E95:E99">
    <cfRule type="cellIs" dxfId="118" priority="95" operator="equal">
      <formula>"Green"</formula>
    </cfRule>
    <cfRule type="cellIs" dxfId="117" priority="96" operator="equal">
      <formula>"Amber"</formula>
    </cfRule>
    <cfRule type="cellIs" dxfId="116" priority="97" operator="equal">
      <formula>"Red"</formula>
    </cfRule>
    <cfRule type="cellIs" dxfId="115" priority="98" operator="equal">
      <formula>"Done"</formula>
    </cfRule>
    <cfRule type="cellIs" dxfId="114" priority="99" operator="equal">
      <formula>"Not Started"</formula>
    </cfRule>
  </conditionalFormatting>
  <conditionalFormatting sqref="B104:B107">
    <cfRule type="cellIs" dxfId="113" priority="100" operator="equal">
      <formula>"Green"</formula>
    </cfRule>
    <cfRule type="cellIs" dxfId="112" priority="101" operator="equal">
      <formula>"Amber"</formula>
    </cfRule>
    <cfRule type="cellIs" dxfId="111" priority="102" operator="equal">
      <formula>"Red"</formula>
    </cfRule>
    <cfRule type="cellIs" dxfId="110" priority="103" operator="equal">
      <formula>"Done"</formula>
    </cfRule>
    <cfRule type="cellIs" dxfId="109" priority="104" operator="equal">
      <formula>"Not Started"</formula>
    </cfRule>
  </conditionalFormatting>
  <conditionalFormatting sqref="B109:B113">
    <cfRule type="cellIs" dxfId="108" priority="105" operator="equal">
      <formula>"Programmes"</formula>
    </cfRule>
    <cfRule type="cellIs" dxfId="107" priority="106" operator="equal">
      <formula>"Partnerships"</formula>
    </cfRule>
    <cfRule type="cellIs" dxfId="106" priority="107" operator="equal">
      <formula>"Revenue"</formula>
    </cfRule>
    <cfRule type="cellIs" dxfId="105" priority="108" operator="equal">
      <formula>"Team"</formula>
    </cfRule>
  </conditionalFormatting>
  <conditionalFormatting sqref="E109:E113">
    <cfRule type="cellIs" dxfId="104" priority="109" operator="equal">
      <formula>"Green"</formula>
    </cfRule>
    <cfRule type="cellIs" dxfId="103" priority="110" operator="equal">
      <formula>"Amber"</formula>
    </cfRule>
    <cfRule type="cellIs" dxfId="102" priority="111" operator="equal">
      <formula>"Red"</formula>
    </cfRule>
    <cfRule type="cellIs" dxfId="101" priority="112" operator="equal">
      <formula>"Done"</formula>
    </cfRule>
    <cfRule type="cellIs" dxfId="100" priority="113" operator="equal">
      <formula>"Not Started"</formula>
    </cfRule>
  </conditionalFormatting>
  <conditionalFormatting sqref="B118:B121">
    <cfRule type="cellIs" dxfId="99" priority="114" operator="equal">
      <formula>"Green"</formula>
    </cfRule>
    <cfRule type="cellIs" dxfId="98" priority="115" operator="equal">
      <formula>"Amber"</formula>
    </cfRule>
    <cfRule type="cellIs" dxfId="97" priority="116" operator="equal">
      <formula>"Red"</formula>
    </cfRule>
    <cfRule type="cellIs" dxfId="96" priority="117" operator="equal">
      <formula>"Done"</formula>
    </cfRule>
    <cfRule type="cellIs" dxfId="95" priority="118" operator="equal">
      <formula>"Not Started"</formula>
    </cfRule>
  </conditionalFormatting>
  <conditionalFormatting sqref="B123:B127">
    <cfRule type="cellIs" dxfId="94" priority="119" operator="equal">
      <formula>"Programmes"</formula>
    </cfRule>
    <cfRule type="cellIs" dxfId="93" priority="120" operator="equal">
      <formula>"Partnerships"</formula>
    </cfRule>
    <cfRule type="cellIs" dxfId="92" priority="121" operator="equal">
      <formula>"Revenue"</formula>
    </cfRule>
    <cfRule type="cellIs" dxfId="91" priority="122" operator="equal">
      <formula>"Team"</formula>
    </cfRule>
  </conditionalFormatting>
  <conditionalFormatting sqref="E123:E127">
    <cfRule type="cellIs" dxfId="90" priority="123" operator="equal">
      <formula>"Green"</formula>
    </cfRule>
    <cfRule type="cellIs" dxfId="89" priority="124" operator="equal">
      <formula>"Amber"</formula>
    </cfRule>
    <cfRule type="cellIs" dxfId="88" priority="125" operator="equal">
      <formula>"Red"</formula>
    </cfRule>
    <cfRule type="cellIs" dxfId="87" priority="126" operator="equal">
      <formula>"Done"</formula>
    </cfRule>
    <cfRule type="cellIs" dxfId="86" priority="127" operator="equal">
      <formula>"Not Started"</formula>
    </cfRule>
  </conditionalFormatting>
  <conditionalFormatting sqref="B132:B135">
    <cfRule type="cellIs" dxfId="85" priority="128" operator="equal">
      <formula>"Green"</formula>
    </cfRule>
    <cfRule type="cellIs" dxfId="84" priority="129" operator="equal">
      <formula>"Amber"</formula>
    </cfRule>
    <cfRule type="cellIs" dxfId="83" priority="130" operator="equal">
      <formula>"Red"</formula>
    </cfRule>
    <cfRule type="cellIs" dxfId="82" priority="131" operator="equal">
      <formula>"Done"</formula>
    </cfRule>
    <cfRule type="cellIs" dxfId="81" priority="132" operator="equal">
      <formula>"Not Started"</formula>
    </cfRule>
  </conditionalFormatting>
  <conditionalFormatting sqref="B137:B141">
    <cfRule type="cellIs" dxfId="80" priority="133" operator="equal">
      <formula>"Programmes"</formula>
    </cfRule>
    <cfRule type="cellIs" dxfId="79" priority="134" operator="equal">
      <formula>"Partnerships"</formula>
    </cfRule>
    <cfRule type="cellIs" dxfId="78" priority="135" operator="equal">
      <formula>"Revenue"</formula>
    </cfRule>
    <cfRule type="cellIs" dxfId="77" priority="136" operator="equal">
      <formula>"Team"</formula>
    </cfRule>
  </conditionalFormatting>
  <conditionalFormatting sqref="E137:E141">
    <cfRule type="cellIs" dxfId="76" priority="137" operator="equal">
      <formula>"Green"</formula>
    </cfRule>
    <cfRule type="cellIs" dxfId="75" priority="138" operator="equal">
      <formula>"Amber"</formula>
    </cfRule>
    <cfRule type="cellIs" dxfId="74" priority="139" operator="equal">
      <formula>"Red"</formula>
    </cfRule>
    <cfRule type="cellIs" dxfId="73" priority="140" operator="equal">
      <formula>"Done"</formula>
    </cfRule>
    <cfRule type="cellIs" dxfId="72" priority="141" operator="equal">
      <formula>"Not Started"</formula>
    </cfRule>
  </conditionalFormatting>
  <conditionalFormatting sqref="B146:B149">
    <cfRule type="cellIs" dxfId="71" priority="142" operator="equal">
      <formula>"Green"</formula>
    </cfRule>
    <cfRule type="cellIs" dxfId="70" priority="143" operator="equal">
      <formula>"Amber"</formula>
    </cfRule>
    <cfRule type="cellIs" dxfId="69" priority="144" operator="equal">
      <formula>"Red"</formula>
    </cfRule>
    <cfRule type="cellIs" dxfId="68" priority="145" operator="equal">
      <formula>"Done"</formula>
    </cfRule>
    <cfRule type="cellIs" dxfId="67" priority="146" operator="equal">
      <formula>"Not Started"</formula>
    </cfRule>
  </conditionalFormatting>
  <conditionalFormatting sqref="B151:B155">
    <cfRule type="cellIs" dxfId="66" priority="147" operator="equal">
      <formula>"Programmes"</formula>
    </cfRule>
    <cfRule type="cellIs" dxfId="65" priority="148" operator="equal">
      <formula>"Partnerships"</formula>
    </cfRule>
    <cfRule type="cellIs" dxfId="64" priority="149" operator="equal">
      <formula>"Revenue"</formula>
    </cfRule>
    <cfRule type="cellIs" dxfId="63" priority="150" operator="equal">
      <formula>"Team"</formula>
    </cfRule>
  </conditionalFormatting>
  <conditionalFormatting sqref="E151:E155">
    <cfRule type="cellIs" dxfId="62" priority="151" operator="equal">
      <formula>"Green"</formula>
    </cfRule>
    <cfRule type="cellIs" dxfId="61" priority="152" operator="equal">
      <formula>"Amber"</formula>
    </cfRule>
    <cfRule type="cellIs" dxfId="60" priority="153" operator="equal">
      <formula>"Red"</formula>
    </cfRule>
    <cfRule type="cellIs" dxfId="59" priority="154" operator="equal">
      <formula>"Done"</formula>
    </cfRule>
    <cfRule type="cellIs" dxfId="58" priority="155" operator="equal">
      <formula>"Not Started"</formula>
    </cfRule>
  </conditionalFormatting>
  <conditionalFormatting sqref="B160:B163">
    <cfRule type="cellIs" dxfId="57" priority="156" operator="equal">
      <formula>"Green"</formula>
    </cfRule>
    <cfRule type="cellIs" dxfId="56" priority="157" operator="equal">
      <formula>"Amber"</formula>
    </cfRule>
    <cfRule type="cellIs" dxfId="55" priority="158" operator="equal">
      <formula>"Red"</formula>
    </cfRule>
    <cfRule type="cellIs" dxfId="54" priority="159" operator="equal">
      <formula>"Done"</formula>
    </cfRule>
    <cfRule type="cellIs" dxfId="53" priority="160" operator="equal">
      <formula>"Not Started"</formula>
    </cfRule>
  </conditionalFormatting>
  <conditionalFormatting sqref="B165:B169">
    <cfRule type="cellIs" dxfId="52" priority="161" operator="equal">
      <formula>"Programmes"</formula>
    </cfRule>
    <cfRule type="cellIs" dxfId="51" priority="162" operator="equal">
      <formula>"Partnerships"</formula>
    </cfRule>
    <cfRule type="cellIs" dxfId="50" priority="163" operator="equal">
      <formula>"Revenue"</formula>
    </cfRule>
    <cfRule type="cellIs" dxfId="49" priority="164" operator="equal">
      <formula>"Team"</formula>
    </cfRule>
  </conditionalFormatting>
  <conditionalFormatting sqref="E165:E169">
    <cfRule type="cellIs" dxfId="48" priority="165" operator="equal">
      <formula>"Green"</formula>
    </cfRule>
    <cfRule type="cellIs" dxfId="47" priority="166" operator="equal">
      <formula>"Amber"</formula>
    </cfRule>
    <cfRule type="cellIs" dxfId="46" priority="167" operator="equal">
      <formula>"Red"</formula>
    </cfRule>
    <cfRule type="cellIs" dxfId="45" priority="168" operator="equal">
      <formula>"Done"</formula>
    </cfRule>
    <cfRule type="cellIs" dxfId="44" priority="169" operator="equal">
      <formula>"Not Started"</formula>
    </cfRule>
  </conditionalFormatting>
  <conditionalFormatting sqref="B174:B177">
    <cfRule type="cellIs" dxfId="43" priority="170" operator="equal">
      <formula>"Green"</formula>
    </cfRule>
    <cfRule type="cellIs" dxfId="42" priority="171" operator="equal">
      <formula>"Amber"</formula>
    </cfRule>
    <cfRule type="cellIs" dxfId="41" priority="172" operator="equal">
      <formula>"Red"</formula>
    </cfRule>
    <cfRule type="cellIs" dxfId="40" priority="173" operator="equal">
      <formula>"Done"</formula>
    </cfRule>
    <cfRule type="cellIs" dxfId="39" priority="174" operator="equal">
      <formula>"Not Started"</formula>
    </cfRule>
  </conditionalFormatting>
  <conditionalFormatting sqref="B179:B183">
    <cfRule type="cellIs" dxfId="38" priority="175" operator="equal">
      <formula>"Programmes"</formula>
    </cfRule>
    <cfRule type="cellIs" dxfId="37" priority="176" operator="equal">
      <formula>"Partnerships"</formula>
    </cfRule>
    <cfRule type="cellIs" dxfId="36" priority="177" operator="equal">
      <formula>"Revenue"</formula>
    </cfRule>
    <cfRule type="cellIs" dxfId="35" priority="178" operator="equal">
      <formula>"Team"</formula>
    </cfRule>
  </conditionalFormatting>
  <conditionalFormatting sqref="E179:E183">
    <cfRule type="cellIs" dxfId="34" priority="179" operator="equal">
      <formula>"Green"</formula>
    </cfRule>
    <cfRule type="cellIs" dxfId="33" priority="180" operator="equal">
      <formula>"Amber"</formula>
    </cfRule>
    <cfRule type="cellIs" dxfId="32" priority="181" operator="equal">
      <formula>"Red"</formula>
    </cfRule>
    <cfRule type="cellIs" dxfId="31" priority="182" operator="equal">
      <formula>"Done"</formula>
    </cfRule>
    <cfRule type="cellIs" dxfId="30" priority="183" operator="equal">
      <formula>"Not Started"</formula>
    </cfRule>
  </conditionalFormatting>
  <dataValidations count="39">
    <dataValidation type="list" allowBlank="1" sqref="B6:B9">
      <formula1>"Green,Amber,Red,Done,Not Started"</formula1>
      <formula2>0</formula2>
    </dataValidation>
    <dataValidation type="list" allowBlank="1" sqref="B11:B15">
      <formula1>"Programmes,Partnerships,Revenue,Team"</formula1>
      <formula2>0</formula2>
    </dataValidation>
    <dataValidation type="list" allowBlank="1" sqref="E11:E15">
      <formula1>"Green,Amber,Red,Done,Not Started"</formula1>
      <formula2>0</formula2>
    </dataValidation>
    <dataValidation type="list" allowBlank="1" sqref="B20:B23">
      <formula1>"Green,Amber,Red,Done,Not Started"</formula1>
      <formula2>0</formula2>
    </dataValidation>
    <dataValidation type="list" allowBlank="1" sqref="B25:B29">
      <formula1>"Programmes,Partnerships,Revenue,Team"</formula1>
      <formula2>0</formula2>
    </dataValidation>
    <dataValidation type="list" allowBlank="1" sqref="E25:E29">
      <formula1>"Green,Amber,Red,Done,Not Started"</formula1>
      <formula2>0</formula2>
    </dataValidation>
    <dataValidation type="list" allowBlank="1" sqref="B34:B37">
      <formula1>"Green,Amber,Red,Done,Not Started"</formula1>
      <formula2>0</formula2>
    </dataValidation>
    <dataValidation type="list" allowBlank="1" sqref="B39:B43">
      <formula1>"Programmes,Partnerships,Revenue,Team"</formula1>
      <formula2>0</formula2>
    </dataValidation>
    <dataValidation type="list" allowBlank="1" sqref="E39:E43">
      <formula1>"Green,Amber,Red,Done,Not Started"</formula1>
      <formula2>0</formula2>
    </dataValidation>
    <dataValidation type="list" allowBlank="1" sqref="B48:B51">
      <formula1>"Green,Amber,Red,Done,Not Started"</formula1>
      <formula2>0</formula2>
    </dataValidation>
    <dataValidation type="list" allowBlank="1" sqref="B53:B57">
      <formula1>"Programmes,Partnerships,Revenue,Team"</formula1>
      <formula2>0</formula2>
    </dataValidation>
    <dataValidation type="list" allowBlank="1" sqref="E53:E57">
      <formula1>"Green,Amber,Red,Done,Not Started"</formula1>
      <formula2>0</formula2>
    </dataValidation>
    <dataValidation type="list" allowBlank="1" sqref="B62:B65">
      <formula1>"Green,Amber,Red,Done,Not Started"</formula1>
      <formula2>0</formula2>
    </dataValidation>
    <dataValidation type="list" allowBlank="1" sqref="B67:B71">
      <formula1>"Programmes,Partnerships,Revenue,Team"</formula1>
      <formula2>0</formula2>
    </dataValidation>
    <dataValidation type="list" allowBlank="1" sqref="E67:E71">
      <formula1>"Green,Amber,Red,Done,Not Started"</formula1>
      <formula2>0</formula2>
    </dataValidation>
    <dataValidation type="list" allowBlank="1" sqref="B76:B79">
      <formula1>"Green,Amber,Red,Done,Not Started"</formula1>
      <formula2>0</formula2>
    </dataValidation>
    <dataValidation type="list" allowBlank="1" sqref="B81:B85">
      <formula1>"Programmes,Partnerships,Revenue,Team"</formula1>
      <formula2>0</formula2>
    </dataValidation>
    <dataValidation type="list" allowBlank="1" sqref="E81:E85">
      <formula1>"Green,Amber,Red,Done,Not Started"</formula1>
      <formula2>0</formula2>
    </dataValidation>
    <dataValidation type="list" allowBlank="1" sqref="B90:B93">
      <formula1>"Green,Amber,Red,Done,Not Started"</formula1>
      <formula2>0</formula2>
    </dataValidation>
    <dataValidation type="list" allowBlank="1" sqref="B95:B99">
      <formula1>"Programmes,Partnerships,Revenue,Team"</formula1>
      <formula2>0</formula2>
    </dataValidation>
    <dataValidation type="list" allowBlank="1" sqref="E95:E99">
      <formula1>"Green,Amber,Red,Done,Not Started"</formula1>
      <formula2>0</formula2>
    </dataValidation>
    <dataValidation type="list" allowBlank="1" sqref="B104:B107">
      <formula1>"Green,Amber,Red,Done,Not Started"</formula1>
      <formula2>0</formula2>
    </dataValidation>
    <dataValidation type="list" allowBlank="1" sqref="B109:B113">
      <formula1>"Programmes,Partnerships,Revenue,Team"</formula1>
      <formula2>0</formula2>
    </dataValidation>
    <dataValidation type="list" allowBlank="1" sqref="E109:E113">
      <formula1>"Green,Amber,Red,Done,Not Started"</formula1>
      <formula2>0</formula2>
    </dataValidation>
    <dataValidation type="list" allowBlank="1" sqref="B118:B121">
      <formula1>"Green,Amber,Red,Done,Not Started"</formula1>
      <formula2>0</formula2>
    </dataValidation>
    <dataValidation type="list" allowBlank="1" sqref="B123:B127">
      <formula1>"Programmes,Partnerships,Revenue,Team"</formula1>
      <formula2>0</formula2>
    </dataValidation>
    <dataValidation type="list" allowBlank="1" sqref="E123:E127">
      <formula1>"Green,Amber,Red,Done,Not Started"</formula1>
      <formula2>0</formula2>
    </dataValidation>
    <dataValidation type="list" allowBlank="1" sqref="B132:B135">
      <formula1>"Green,Amber,Red,Done,Not Started"</formula1>
      <formula2>0</formula2>
    </dataValidation>
    <dataValidation type="list" allowBlank="1" sqref="B137:B141">
      <formula1>"Programmes,Partnerships,Revenue,Team"</formula1>
      <formula2>0</formula2>
    </dataValidation>
    <dataValidation type="list" allowBlank="1" sqref="E137:E141">
      <formula1>"Green,Amber,Red,Done,Not Started"</formula1>
      <formula2>0</formula2>
    </dataValidation>
    <dataValidation type="list" allowBlank="1" sqref="B146:B149">
      <formula1>"Green,Amber,Red,Done,Not Started"</formula1>
      <formula2>0</formula2>
    </dataValidation>
    <dataValidation type="list" allowBlank="1" sqref="B151:B155">
      <formula1>"Programmes,Partnerships,Revenue,Team"</formula1>
      <formula2>0</formula2>
    </dataValidation>
    <dataValidation type="list" allowBlank="1" sqref="E151:E155">
      <formula1>"Green,Amber,Red,Done,Not Started"</formula1>
      <formula2>0</formula2>
    </dataValidation>
    <dataValidation type="list" allowBlank="1" sqref="B160:B163">
      <formula1>"Green,Amber,Red,Done,Not Started"</formula1>
      <formula2>0</formula2>
    </dataValidation>
    <dataValidation type="list" allowBlank="1" sqref="B165:B169">
      <formula1>"Programmes,Partnerships,Revenue,Team"</formula1>
      <formula2>0</formula2>
    </dataValidation>
    <dataValidation type="list" allowBlank="1" sqref="E165:E169">
      <formula1>"Green,Amber,Red,Done,Not Started"</formula1>
      <formula2>0</formula2>
    </dataValidation>
    <dataValidation type="list" allowBlank="1" sqref="B174:B177">
      <formula1>"Green,Amber,Red,Done,Not Started"</formula1>
      <formula2>0</formula2>
    </dataValidation>
    <dataValidation type="list" allowBlank="1" sqref="B179:B183">
      <formula1>"Programmes,Partnerships,Revenue,Team"</formula1>
      <formula2>0</formula2>
    </dataValidation>
    <dataValidation type="list" allowBlank="1" sqref="E179:E183">
      <formula1>"Green,Amber,Red,Done,Not Started"</formula1>
      <formula2>0</formula2>
    </dataValidation>
  </dataValidation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Views>
    <sheetView showGridLines="0" zoomScaleNormal="100" workbookViewId="0">
      <pane ySplit="4" topLeftCell="A5" activePane="bottomLeft" state="frozen"/>
      <selection pane="bottomLeft"/>
    </sheetView>
  </sheetViews>
  <sheetFormatPr defaultColWidth="8.6328125" defaultRowHeight="14.5" x14ac:dyDescent="0.35"/>
  <cols>
    <col min="1" max="1" width="52" style="15" customWidth="1"/>
    <col min="2" max="2" width="16" style="15" customWidth="1"/>
    <col min="3" max="3" width="15" style="15" customWidth="1"/>
    <col min="4" max="4" width="9" style="15" customWidth="1"/>
    <col min="5" max="5" width="32" style="15" customWidth="1"/>
    <col min="6" max="6" width="30" style="15" customWidth="1"/>
  </cols>
  <sheetData>
    <row r="1" spans="1:6" ht="25.5" customHeight="1" x14ac:dyDescent="0.35">
      <c r="A1" s="14" t="s">
        <v>327</v>
      </c>
      <c r="B1" s="14"/>
      <c r="C1" s="14"/>
      <c r="D1" s="14"/>
      <c r="E1" s="14"/>
      <c r="F1" s="14"/>
    </row>
    <row r="2" spans="1:6" ht="18" customHeight="1" x14ac:dyDescent="0.35">
      <c r="A2" s="13" t="s">
        <v>328</v>
      </c>
      <c r="B2" s="13"/>
      <c r="C2" s="13"/>
      <c r="D2" s="13"/>
      <c r="E2" s="13"/>
      <c r="F2" s="13"/>
    </row>
    <row r="4" spans="1:6" ht="27.75" customHeight="1" x14ac:dyDescent="0.35">
      <c r="A4" s="27" t="s">
        <v>329</v>
      </c>
      <c r="B4" s="27" t="s">
        <v>60</v>
      </c>
      <c r="C4" s="27" t="s">
        <v>330</v>
      </c>
      <c r="D4" s="27" t="s">
        <v>50</v>
      </c>
      <c r="E4" s="27" t="s">
        <v>331</v>
      </c>
      <c r="F4" s="27" t="s">
        <v>332</v>
      </c>
    </row>
    <row r="5" spans="1:6" ht="19.5" customHeight="1" x14ac:dyDescent="0.35">
      <c r="A5" s="12" t="s">
        <v>333</v>
      </c>
      <c r="B5" s="12"/>
      <c r="C5" s="12"/>
      <c r="D5" s="12"/>
      <c r="E5" s="12"/>
      <c r="F5" s="12"/>
    </row>
    <row r="6" spans="1:6" ht="27.75" customHeight="1" x14ac:dyDescent="0.35">
      <c r="A6" s="31" t="s">
        <v>334</v>
      </c>
      <c r="B6" s="31" t="s">
        <v>63</v>
      </c>
      <c r="C6" s="32" t="s">
        <v>335</v>
      </c>
      <c r="D6" s="32" t="s">
        <v>38</v>
      </c>
      <c r="E6" s="31" t="s">
        <v>336</v>
      </c>
      <c r="F6" s="31" t="s">
        <v>337</v>
      </c>
    </row>
    <row r="7" spans="1:6" ht="27.75" customHeight="1" x14ac:dyDescent="0.35">
      <c r="A7" s="29" t="s">
        <v>338</v>
      </c>
      <c r="B7" s="29" t="s">
        <v>339</v>
      </c>
      <c r="C7" s="30" t="s">
        <v>340</v>
      </c>
      <c r="D7" s="30" t="s">
        <v>38</v>
      </c>
      <c r="E7" s="29" t="s">
        <v>341</v>
      </c>
      <c r="F7" s="29" t="s">
        <v>342</v>
      </c>
    </row>
    <row r="8" spans="1:6" ht="27.75" customHeight="1" x14ac:dyDescent="0.35">
      <c r="A8" s="31" t="s">
        <v>343</v>
      </c>
      <c r="B8" s="31" t="s">
        <v>63</v>
      </c>
      <c r="C8" s="32" t="s">
        <v>344</v>
      </c>
      <c r="D8" s="32" t="s">
        <v>38</v>
      </c>
      <c r="E8" s="31" t="s">
        <v>345</v>
      </c>
      <c r="F8" s="31" t="s">
        <v>346</v>
      </c>
    </row>
    <row r="9" spans="1:6" ht="27.75" customHeight="1" x14ac:dyDescent="0.35">
      <c r="A9" s="29" t="s">
        <v>347</v>
      </c>
      <c r="B9" s="29" t="s">
        <v>348</v>
      </c>
      <c r="C9" s="30" t="s">
        <v>349</v>
      </c>
      <c r="D9" s="30" t="s">
        <v>38</v>
      </c>
      <c r="E9" s="29" t="s">
        <v>350</v>
      </c>
      <c r="F9" s="29" t="s">
        <v>351</v>
      </c>
    </row>
    <row r="10" spans="1:6" ht="27.75" customHeight="1" x14ac:dyDescent="0.35">
      <c r="A10" s="31" t="s">
        <v>352</v>
      </c>
      <c r="B10" s="31" t="s">
        <v>66</v>
      </c>
      <c r="C10" s="32" t="s">
        <v>353</v>
      </c>
      <c r="D10" s="32" t="s">
        <v>38</v>
      </c>
      <c r="E10" s="31" t="s">
        <v>354</v>
      </c>
      <c r="F10" s="31"/>
    </row>
    <row r="11" spans="1:6" ht="27.75" customHeight="1" x14ac:dyDescent="0.35">
      <c r="A11" s="29" t="s">
        <v>355</v>
      </c>
      <c r="B11" s="29" t="s">
        <v>356</v>
      </c>
      <c r="C11" s="30" t="s">
        <v>357</v>
      </c>
      <c r="D11" s="30" t="s">
        <v>40</v>
      </c>
      <c r="E11" s="29" t="s">
        <v>358</v>
      </c>
      <c r="F11" s="29" t="s">
        <v>359</v>
      </c>
    </row>
    <row r="12" spans="1:6" ht="27.75" customHeight="1" x14ac:dyDescent="0.35">
      <c r="A12" s="31" t="s">
        <v>360</v>
      </c>
      <c r="B12" s="31" t="s">
        <v>31</v>
      </c>
      <c r="C12" s="32" t="s">
        <v>349</v>
      </c>
      <c r="D12" s="32" t="s">
        <v>44</v>
      </c>
      <c r="E12" s="31"/>
      <c r="F12" s="31"/>
    </row>
    <row r="13" spans="1:6" ht="19.5" customHeight="1" x14ac:dyDescent="0.35">
      <c r="A13" s="12" t="s">
        <v>361</v>
      </c>
      <c r="B13" s="12"/>
      <c r="C13" s="12"/>
      <c r="D13" s="12"/>
      <c r="E13" s="12"/>
      <c r="F13" s="12"/>
    </row>
    <row r="14" spans="1:6" ht="27.75" customHeight="1" x14ac:dyDescent="0.35">
      <c r="A14" s="31" t="s">
        <v>362</v>
      </c>
      <c r="B14" s="31" t="s">
        <v>348</v>
      </c>
      <c r="C14" s="32" t="s">
        <v>340</v>
      </c>
      <c r="D14" s="32" t="s">
        <v>38</v>
      </c>
      <c r="E14" s="31" t="s">
        <v>363</v>
      </c>
      <c r="F14" s="31"/>
    </row>
    <row r="15" spans="1:6" ht="27.75" customHeight="1" x14ac:dyDescent="0.35">
      <c r="A15" s="29" t="s">
        <v>364</v>
      </c>
      <c r="B15" s="29" t="s">
        <v>66</v>
      </c>
      <c r="C15" s="30" t="s">
        <v>357</v>
      </c>
      <c r="D15" s="30" t="s">
        <v>38</v>
      </c>
      <c r="E15" s="29" t="s">
        <v>365</v>
      </c>
      <c r="F15" s="52" t="s">
        <v>366</v>
      </c>
    </row>
    <row r="16" spans="1:6" ht="27.75" customHeight="1" x14ac:dyDescent="0.35">
      <c r="A16" s="31" t="s">
        <v>367</v>
      </c>
      <c r="B16" s="31" t="s">
        <v>368</v>
      </c>
      <c r="C16" s="32" t="s">
        <v>369</v>
      </c>
      <c r="D16" s="32" t="s">
        <v>38</v>
      </c>
      <c r="E16" s="31" t="s">
        <v>370</v>
      </c>
      <c r="F16" s="53" t="s">
        <v>371</v>
      </c>
    </row>
    <row r="17" spans="1:6" ht="27.75" customHeight="1" x14ac:dyDescent="0.35">
      <c r="A17" s="29" t="s">
        <v>372</v>
      </c>
      <c r="B17" s="29" t="s">
        <v>66</v>
      </c>
      <c r="C17" s="30" t="s">
        <v>369</v>
      </c>
      <c r="D17" s="30" t="s">
        <v>38</v>
      </c>
      <c r="E17" s="29" t="s">
        <v>373</v>
      </c>
      <c r="F17" s="29"/>
    </row>
    <row r="18" spans="1:6" ht="27.75" customHeight="1" x14ac:dyDescent="0.35">
      <c r="A18" s="31" t="s">
        <v>374</v>
      </c>
      <c r="B18" s="31" t="s">
        <v>66</v>
      </c>
      <c r="C18" s="32" t="s">
        <v>357</v>
      </c>
      <c r="D18" s="32" t="s">
        <v>38</v>
      </c>
      <c r="E18" s="31" t="s">
        <v>375</v>
      </c>
      <c r="F18" s="31"/>
    </row>
    <row r="19" spans="1:6" ht="27.75" customHeight="1" x14ac:dyDescent="0.35">
      <c r="A19" s="29" t="s">
        <v>376</v>
      </c>
      <c r="B19" s="29" t="s">
        <v>63</v>
      </c>
      <c r="C19" s="30" t="s">
        <v>353</v>
      </c>
      <c r="D19" s="30" t="s">
        <v>44</v>
      </c>
      <c r="E19" s="29"/>
      <c r="F19" s="29"/>
    </row>
    <row r="20" spans="1:6" ht="27.75" customHeight="1" x14ac:dyDescent="0.35">
      <c r="A20" s="31" t="s">
        <v>377</v>
      </c>
      <c r="B20" s="31" t="s">
        <v>31</v>
      </c>
      <c r="C20" s="32" t="s">
        <v>353</v>
      </c>
      <c r="D20" s="32" t="s">
        <v>38</v>
      </c>
      <c r="E20" s="31" t="s">
        <v>378</v>
      </c>
      <c r="F20" s="31"/>
    </row>
    <row r="21" spans="1:6" ht="27.75" customHeight="1" x14ac:dyDescent="0.35">
      <c r="A21" s="29" t="s">
        <v>379</v>
      </c>
      <c r="B21" s="29" t="s">
        <v>66</v>
      </c>
      <c r="C21" s="30" t="s">
        <v>349</v>
      </c>
      <c r="D21" s="30" t="s">
        <v>36</v>
      </c>
      <c r="E21" s="29" t="s">
        <v>380</v>
      </c>
      <c r="F21" s="29"/>
    </row>
    <row r="22" spans="1:6" ht="27.75" customHeight="1" x14ac:dyDescent="0.35">
      <c r="A22" s="31" t="s">
        <v>381</v>
      </c>
      <c r="B22" s="31" t="s">
        <v>63</v>
      </c>
      <c r="C22" s="32" t="s">
        <v>353</v>
      </c>
      <c r="D22" s="32" t="s">
        <v>44</v>
      </c>
      <c r="E22" s="31"/>
      <c r="F22" s="31"/>
    </row>
    <row r="23" spans="1:6" ht="19.5" customHeight="1" x14ac:dyDescent="0.35">
      <c r="A23" s="12" t="s">
        <v>382</v>
      </c>
      <c r="B23" s="12"/>
      <c r="C23" s="12"/>
      <c r="D23" s="12"/>
      <c r="E23" s="12"/>
      <c r="F23" s="12"/>
    </row>
    <row r="24" spans="1:6" ht="27.75" customHeight="1" x14ac:dyDescent="0.35">
      <c r="A24" s="31" t="s">
        <v>62</v>
      </c>
      <c r="B24" s="31" t="s">
        <v>63</v>
      </c>
      <c r="C24" s="32" t="s">
        <v>383</v>
      </c>
      <c r="D24" s="32" t="s">
        <v>38</v>
      </c>
      <c r="E24" s="31" t="s">
        <v>384</v>
      </c>
      <c r="F24" s="31" t="s">
        <v>63</v>
      </c>
    </row>
    <row r="25" spans="1:6" ht="27.75" customHeight="1" x14ac:dyDescent="0.35">
      <c r="A25" s="29" t="s">
        <v>65</v>
      </c>
      <c r="B25" s="29" t="s">
        <v>66</v>
      </c>
      <c r="C25" s="30" t="s">
        <v>385</v>
      </c>
      <c r="D25" s="30" t="s">
        <v>38</v>
      </c>
      <c r="E25" s="29" t="s">
        <v>386</v>
      </c>
      <c r="F25" s="29" t="s">
        <v>66</v>
      </c>
    </row>
    <row r="26" spans="1:6" ht="27.75" customHeight="1" x14ac:dyDescent="0.35">
      <c r="A26" s="31" t="s">
        <v>67</v>
      </c>
      <c r="B26" s="31" t="s">
        <v>66</v>
      </c>
      <c r="C26" s="32" t="s">
        <v>387</v>
      </c>
      <c r="D26" s="32" t="s">
        <v>38</v>
      </c>
      <c r="E26" s="31" t="s">
        <v>388</v>
      </c>
      <c r="F26" s="31" t="s">
        <v>66</v>
      </c>
    </row>
    <row r="27" spans="1:6" ht="27.75" customHeight="1" x14ac:dyDescent="0.35">
      <c r="A27" s="29" t="s">
        <v>68</v>
      </c>
      <c r="B27" s="29" t="s">
        <v>66</v>
      </c>
      <c r="C27" s="30" t="s">
        <v>389</v>
      </c>
      <c r="D27" s="30" t="s">
        <v>44</v>
      </c>
      <c r="E27" s="29" t="s">
        <v>390</v>
      </c>
      <c r="F27" s="29" t="s">
        <v>391</v>
      </c>
    </row>
    <row r="28" spans="1:6" ht="27.75" customHeight="1" x14ac:dyDescent="0.35">
      <c r="A28" s="31" t="s">
        <v>70</v>
      </c>
      <c r="B28" s="31" t="s">
        <v>31</v>
      </c>
      <c r="C28" s="32" t="s">
        <v>392</v>
      </c>
      <c r="D28" s="32" t="s">
        <v>36</v>
      </c>
      <c r="E28" s="31" t="s">
        <v>393</v>
      </c>
      <c r="F28" s="31" t="s">
        <v>31</v>
      </c>
    </row>
    <row r="29" spans="1:6" ht="27.75" customHeight="1" x14ac:dyDescent="0.35">
      <c r="A29" s="29" t="s">
        <v>72</v>
      </c>
      <c r="B29" s="29" t="s">
        <v>31</v>
      </c>
      <c r="C29" s="30" t="s">
        <v>394</v>
      </c>
      <c r="D29" s="30" t="s">
        <v>38</v>
      </c>
      <c r="E29" s="29" t="s">
        <v>395</v>
      </c>
      <c r="F29" s="29" t="s">
        <v>31</v>
      </c>
    </row>
    <row r="30" spans="1:6" ht="27.75" customHeight="1" x14ac:dyDescent="0.35">
      <c r="A30" s="31" t="s">
        <v>73</v>
      </c>
      <c r="B30" s="31" t="s">
        <v>31</v>
      </c>
      <c r="C30" s="32" t="s">
        <v>389</v>
      </c>
      <c r="D30" s="32" t="s">
        <v>38</v>
      </c>
      <c r="E30" s="31" t="s">
        <v>396</v>
      </c>
      <c r="F30" s="31" t="s">
        <v>397</v>
      </c>
    </row>
    <row r="31" spans="1:6" ht="19.5" customHeight="1" x14ac:dyDescent="0.35">
      <c r="A31" s="12" t="s">
        <v>398</v>
      </c>
      <c r="B31" s="12"/>
      <c r="C31" s="12"/>
      <c r="D31" s="12"/>
      <c r="E31" s="12"/>
      <c r="F31" s="12"/>
    </row>
    <row r="32" spans="1:6" ht="27.75" customHeight="1" x14ac:dyDescent="0.35">
      <c r="A32" s="31" t="s">
        <v>399</v>
      </c>
      <c r="B32" s="31" t="s">
        <v>33</v>
      </c>
      <c r="C32" s="32" t="s">
        <v>400</v>
      </c>
      <c r="D32" s="32" t="s">
        <v>38</v>
      </c>
      <c r="E32" s="31" t="s">
        <v>401</v>
      </c>
      <c r="F32" s="31" t="s">
        <v>402</v>
      </c>
    </row>
    <row r="33" spans="1:6" ht="27.75" customHeight="1" x14ac:dyDescent="0.35">
      <c r="A33" s="29" t="s">
        <v>403</v>
      </c>
      <c r="B33" s="29" t="s">
        <v>404</v>
      </c>
      <c r="C33" s="30" t="s">
        <v>353</v>
      </c>
      <c r="D33" s="30" t="s">
        <v>38</v>
      </c>
      <c r="E33" s="29" t="s">
        <v>405</v>
      </c>
      <c r="F33" s="29"/>
    </row>
    <row r="34" spans="1:6" ht="27.75" customHeight="1" x14ac:dyDescent="0.35">
      <c r="A34" s="31" t="s">
        <v>406</v>
      </c>
      <c r="B34" s="31" t="s">
        <v>407</v>
      </c>
      <c r="C34" s="32" t="s">
        <v>408</v>
      </c>
      <c r="D34" s="32" t="s">
        <v>36</v>
      </c>
      <c r="E34" s="31" t="s">
        <v>409</v>
      </c>
      <c r="F34" s="31"/>
    </row>
    <row r="35" spans="1:6" ht="27.75" customHeight="1" x14ac:dyDescent="0.35">
      <c r="A35" s="29" t="s">
        <v>410</v>
      </c>
      <c r="B35" s="29" t="s">
        <v>33</v>
      </c>
      <c r="C35" s="30" t="s">
        <v>369</v>
      </c>
      <c r="D35" s="30" t="s">
        <v>38</v>
      </c>
      <c r="E35" s="29" t="s">
        <v>411</v>
      </c>
      <c r="F35" s="29" t="s">
        <v>412</v>
      </c>
    </row>
    <row r="36" spans="1:6" ht="27.75" customHeight="1" x14ac:dyDescent="0.35">
      <c r="A36" s="31" t="s">
        <v>413</v>
      </c>
      <c r="B36" s="31" t="s">
        <v>33</v>
      </c>
      <c r="C36" s="32" t="s">
        <v>369</v>
      </c>
      <c r="D36" s="32" t="s">
        <v>38</v>
      </c>
      <c r="E36" s="31" t="s">
        <v>414</v>
      </c>
      <c r="F36" s="31" t="s">
        <v>415</v>
      </c>
    </row>
    <row r="37" spans="1:6" ht="27.75" customHeight="1" x14ac:dyDescent="0.35">
      <c r="A37" s="29" t="s">
        <v>416</v>
      </c>
      <c r="B37" s="29" t="s">
        <v>66</v>
      </c>
      <c r="C37" s="30" t="s">
        <v>417</v>
      </c>
      <c r="D37" s="30" t="s">
        <v>42</v>
      </c>
      <c r="E37" s="29" t="s">
        <v>418</v>
      </c>
      <c r="F37" s="29" t="s">
        <v>419</v>
      </c>
    </row>
    <row r="38" spans="1:6" ht="27.75" customHeight="1" x14ac:dyDescent="0.35">
      <c r="A38" s="31" t="s">
        <v>420</v>
      </c>
      <c r="B38" s="31" t="s">
        <v>93</v>
      </c>
      <c r="C38" s="32" t="s">
        <v>369</v>
      </c>
      <c r="D38" s="32" t="s">
        <v>42</v>
      </c>
      <c r="E38" s="31" t="s">
        <v>421</v>
      </c>
      <c r="F38" s="31"/>
    </row>
    <row r="39" spans="1:6" ht="27.75" customHeight="1" x14ac:dyDescent="0.35">
      <c r="A39" s="29" t="s">
        <v>422</v>
      </c>
      <c r="B39" s="29" t="s">
        <v>93</v>
      </c>
      <c r="C39" s="30" t="s">
        <v>423</v>
      </c>
      <c r="D39" s="30" t="s">
        <v>36</v>
      </c>
      <c r="E39" s="29" t="s">
        <v>424</v>
      </c>
      <c r="F39" s="29"/>
    </row>
    <row r="40" spans="1:6" ht="27.75" customHeight="1" x14ac:dyDescent="0.35">
      <c r="A40" s="31" t="s">
        <v>425</v>
      </c>
      <c r="B40" s="31" t="s">
        <v>93</v>
      </c>
      <c r="C40" s="32" t="s">
        <v>349</v>
      </c>
      <c r="D40" s="32" t="s">
        <v>44</v>
      </c>
      <c r="E40" s="31"/>
      <c r="F40" s="31"/>
    </row>
    <row r="41" spans="1:6" ht="27.75" customHeight="1" x14ac:dyDescent="0.35">
      <c r="A41" s="29" t="s">
        <v>426</v>
      </c>
      <c r="B41" s="29" t="s">
        <v>93</v>
      </c>
      <c r="C41" s="30" t="s">
        <v>349</v>
      </c>
      <c r="D41" s="30" t="s">
        <v>36</v>
      </c>
      <c r="E41" s="29" t="s">
        <v>427</v>
      </c>
      <c r="F41" s="29"/>
    </row>
  </sheetData>
  <mergeCells count="6">
    <mergeCell ref="A31:F31"/>
    <mergeCell ref="A1:F1"/>
    <mergeCell ref="A2:F2"/>
    <mergeCell ref="A5:F5"/>
    <mergeCell ref="A13:F13"/>
    <mergeCell ref="A23:F23"/>
  </mergeCells>
  <conditionalFormatting sqref="D5:D41">
    <cfRule type="cellIs" dxfId="29" priority="2" operator="equal">
      <formula>"Green"</formula>
    </cfRule>
    <cfRule type="cellIs" dxfId="28" priority="3" operator="equal">
      <formula>"Amber"</formula>
    </cfRule>
    <cfRule type="cellIs" dxfId="27" priority="4" operator="equal">
      <formula>"Red"</formula>
    </cfRule>
    <cfRule type="cellIs" dxfId="26" priority="5" operator="equal">
      <formula>"Done"</formula>
    </cfRule>
    <cfRule type="cellIs" dxfId="25" priority="6" operator="equal">
      <formula>"Not Started"</formula>
    </cfRule>
  </conditionalFormatting>
  <dataValidations count="1">
    <dataValidation type="list" allowBlank="1" sqref="D5:D41">
      <formula1>"Green,Amber,Red,Done,Not Started"</formula1>
      <formula2>0</formula2>
    </dataValidation>
  </dataValidation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1"/>
  <sheetViews>
    <sheetView showGridLines="0" zoomScaleNormal="100" workbookViewId="0">
      <pane ySplit="4" topLeftCell="A5" activePane="bottomLeft" state="frozen"/>
      <selection pane="bottomLeft"/>
    </sheetView>
  </sheetViews>
  <sheetFormatPr defaultColWidth="8.6328125" defaultRowHeight="14.5" x14ac:dyDescent="0.35"/>
  <cols>
    <col min="1" max="1" width="12" style="15" customWidth="1"/>
    <col min="2" max="2" width="64" style="15" customWidth="1"/>
    <col min="3" max="3" width="18" style="15" customWidth="1"/>
    <col min="4" max="4" width="14" style="15" customWidth="1"/>
    <col min="5" max="5" width="26" style="15" customWidth="1"/>
  </cols>
  <sheetData>
    <row r="1" spans="1:5" ht="25.5" customHeight="1" x14ac:dyDescent="0.35">
      <c r="A1" s="14" t="s">
        <v>428</v>
      </c>
      <c r="B1" s="14"/>
      <c r="C1" s="14"/>
      <c r="D1" s="14"/>
      <c r="E1" s="14"/>
    </row>
    <row r="2" spans="1:5" ht="18" customHeight="1" x14ac:dyDescent="0.35">
      <c r="A2" s="13" t="s">
        <v>429</v>
      </c>
      <c r="B2" s="13"/>
      <c r="C2" s="13"/>
      <c r="D2" s="13"/>
      <c r="E2" s="13"/>
    </row>
    <row r="4" spans="1:5" ht="25.5" customHeight="1" x14ac:dyDescent="0.35">
      <c r="A4" s="27" t="s">
        <v>430</v>
      </c>
      <c r="B4" s="27" t="s">
        <v>431</v>
      </c>
      <c r="C4" s="27" t="s">
        <v>60</v>
      </c>
      <c r="D4" s="27" t="s">
        <v>432</v>
      </c>
      <c r="E4" s="27" t="s">
        <v>61</v>
      </c>
    </row>
    <row r="5" spans="1:5" ht="30" customHeight="1" x14ac:dyDescent="0.35">
      <c r="A5" s="54" t="s">
        <v>433</v>
      </c>
      <c r="B5" s="29" t="s">
        <v>434</v>
      </c>
      <c r="C5" s="30" t="s">
        <v>435</v>
      </c>
      <c r="D5" s="55" t="s">
        <v>42</v>
      </c>
      <c r="E5" s="56" t="s">
        <v>436</v>
      </c>
    </row>
    <row r="6" spans="1:5" ht="30" customHeight="1" x14ac:dyDescent="0.35">
      <c r="A6" s="57" t="s">
        <v>437</v>
      </c>
      <c r="B6" s="31" t="s">
        <v>438</v>
      </c>
      <c r="C6" s="32" t="s">
        <v>31</v>
      </c>
      <c r="D6" s="58" t="s">
        <v>42</v>
      </c>
      <c r="E6" s="59" t="s">
        <v>439</v>
      </c>
    </row>
    <row r="7" spans="1:5" ht="30" customHeight="1" x14ac:dyDescent="0.35">
      <c r="A7" s="54" t="s">
        <v>440</v>
      </c>
      <c r="B7" s="29" t="s">
        <v>441</v>
      </c>
      <c r="C7" s="30" t="s">
        <v>93</v>
      </c>
      <c r="D7" s="55" t="s">
        <v>42</v>
      </c>
      <c r="E7" s="56" t="s">
        <v>442</v>
      </c>
    </row>
    <row r="8" spans="1:5" ht="30" customHeight="1" x14ac:dyDescent="0.35">
      <c r="A8" s="57" t="s">
        <v>423</v>
      </c>
      <c r="B8" s="31" t="s">
        <v>443</v>
      </c>
      <c r="C8" s="32" t="s">
        <v>63</v>
      </c>
      <c r="D8" s="58" t="s">
        <v>444</v>
      </c>
      <c r="E8" s="59" t="s">
        <v>445</v>
      </c>
    </row>
    <row r="9" spans="1:5" ht="30" customHeight="1" x14ac:dyDescent="0.35">
      <c r="A9" s="54" t="s">
        <v>446</v>
      </c>
      <c r="B9" s="29" t="s">
        <v>447</v>
      </c>
      <c r="C9" s="30" t="s">
        <v>63</v>
      </c>
      <c r="D9" s="55" t="s">
        <v>42</v>
      </c>
      <c r="E9" s="56" t="s">
        <v>448</v>
      </c>
    </row>
    <row r="10" spans="1:5" ht="30" customHeight="1" x14ac:dyDescent="0.35">
      <c r="A10" s="60" t="s">
        <v>449</v>
      </c>
      <c r="B10" s="61" t="s">
        <v>450</v>
      </c>
      <c r="C10" s="62" t="s">
        <v>63</v>
      </c>
      <c r="D10" s="63" t="s">
        <v>42</v>
      </c>
      <c r="E10" s="64" t="s">
        <v>451</v>
      </c>
    </row>
    <row r="11" spans="1:5" ht="30" customHeight="1" x14ac:dyDescent="0.35">
      <c r="A11" s="54" t="s">
        <v>452</v>
      </c>
      <c r="B11" s="29" t="s">
        <v>453</v>
      </c>
      <c r="C11" s="30" t="s">
        <v>66</v>
      </c>
      <c r="D11" s="55" t="s">
        <v>454</v>
      </c>
      <c r="E11" s="56" t="s">
        <v>455</v>
      </c>
    </row>
    <row r="12" spans="1:5" ht="30" customHeight="1" x14ac:dyDescent="0.35">
      <c r="A12" s="60" t="s">
        <v>340</v>
      </c>
      <c r="B12" s="61" t="s">
        <v>456</v>
      </c>
      <c r="C12" s="62" t="s">
        <v>31</v>
      </c>
      <c r="D12" s="63" t="s">
        <v>454</v>
      </c>
      <c r="E12" s="64" t="s">
        <v>457</v>
      </c>
    </row>
    <row r="13" spans="1:5" ht="30" customHeight="1" x14ac:dyDescent="0.35">
      <c r="A13" s="54" t="s">
        <v>458</v>
      </c>
      <c r="B13" s="29" t="s">
        <v>459</v>
      </c>
      <c r="C13" s="30" t="s">
        <v>66</v>
      </c>
      <c r="D13" s="55" t="s">
        <v>454</v>
      </c>
      <c r="E13" s="56" t="s">
        <v>460</v>
      </c>
    </row>
    <row r="14" spans="1:5" ht="30" customHeight="1" x14ac:dyDescent="0.35">
      <c r="A14" s="54" t="s">
        <v>417</v>
      </c>
      <c r="B14" s="29" t="s">
        <v>461</v>
      </c>
      <c r="C14" s="30" t="s">
        <v>33</v>
      </c>
      <c r="D14" s="55" t="s">
        <v>454</v>
      </c>
      <c r="E14" s="56" t="s">
        <v>462</v>
      </c>
    </row>
    <row r="15" spans="1:5" ht="30" customHeight="1" x14ac:dyDescent="0.35">
      <c r="A15" s="54" t="s">
        <v>463</v>
      </c>
      <c r="B15" s="29" t="s">
        <v>464</v>
      </c>
      <c r="C15" s="30" t="s">
        <v>93</v>
      </c>
      <c r="D15" s="55" t="s">
        <v>454</v>
      </c>
      <c r="E15" s="56" t="s">
        <v>465</v>
      </c>
    </row>
    <row r="16" spans="1:5" ht="30" customHeight="1" x14ac:dyDescent="0.35">
      <c r="A16" s="57" t="s">
        <v>369</v>
      </c>
      <c r="B16" s="31" t="s">
        <v>466</v>
      </c>
      <c r="C16" s="32" t="s">
        <v>467</v>
      </c>
      <c r="D16" s="58" t="s">
        <v>454</v>
      </c>
      <c r="E16" s="59" t="s">
        <v>468</v>
      </c>
    </row>
    <row r="17" spans="1:5" ht="30" customHeight="1" x14ac:dyDescent="0.35">
      <c r="A17" s="54" t="s">
        <v>469</v>
      </c>
      <c r="B17" s="29" t="s">
        <v>470</v>
      </c>
      <c r="C17" s="30" t="s">
        <v>467</v>
      </c>
      <c r="D17" s="55" t="s">
        <v>454</v>
      </c>
      <c r="E17" s="56" t="s">
        <v>471</v>
      </c>
    </row>
    <row r="18" spans="1:5" ht="30" customHeight="1" x14ac:dyDescent="0.35">
      <c r="A18" s="57" t="s">
        <v>472</v>
      </c>
      <c r="B18" s="31" t="s">
        <v>473</v>
      </c>
      <c r="C18" s="32" t="s">
        <v>63</v>
      </c>
      <c r="D18" s="58" t="s">
        <v>454</v>
      </c>
      <c r="E18" s="59" t="s">
        <v>474</v>
      </c>
    </row>
    <row r="19" spans="1:5" ht="30" customHeight="1" x14ac:dyDescent="0.35">
      <c r="A19" s="54" t="s">
        <v>357</v>
      </c>
      <c r="B19" s="29" t="s">
        <v>475</v>
      </c>
      <c r="C19" s="30" t="s">
        <v>368</v>
      </c>
      <c r="D19" s="55" t="s">
        <v>444</v>
      </c>
      <c r="E19" s="56" t="s">
        <v>476</v>
      </c>
    </row>
    <row r="20" spans="1:5" ht="68.25" customHeight="1" x14ac:dyDescent="0.35">
      <c r="A20" s="54" t="s">
        <v>477</v>
      </c>
      <c r="B20" s="29" t="s">
        <v>478</v>
      </c>
      <c r="C20" s="30" t="s">
        <v>479</v>
      </c>
      <c r="D20" s="55" t="s">
        <v>454</v>
      </c>
      <c r="E20" s="56" t="s">
        <v>480</v>
      </c>
    </row>
    <row r="21" spans="1:5" ht="23.25" customHeight="1" x14ac:dyDescent="0.35">
      <c r="A21" s="60" t="s">
        <v>481</v>
      </c>
      <c r="B21" s="61" t="s">
        <v>482</v>
      </c>
      <c r="C21" s="62" t="s">
        <v>404</v>
      </c>
      <c r="D21" s="63" t="s">
        <v>44</v>
      </c>
      <c r="E21" s="64"/>
    </row>
  </sheetData>
  <mergeCells count="2">
    <mergeCell ref="A1:E1"/>
    <mergeCell ref="A2:E2"/>
  </mergeCells>
  <conditionalFormatting sqref="D5:D21">
    <cfRule type="cellIs" dxfId="24" priority="2" operator="equal">
      <formula>"Done"</formula>
    </cfRule>
    <cfRule type="cellIs" dxfId="23" priority="3" operator="equal">
      <formula>"On Track"</formula>
    </cfRule>
    <cfRule type="cellIs" dxfId="22" priority="4" operator="equal">
      <formula>"At Risk"</formula>
    </cfRule>
    <cfRule type="cellIs" dxfId="21" priority="5" operator="equal">
      <formula>"Missed"</formula>
    </cfRule>
    <cfRule type="cellIs" dxfId="20" priority="6" operator="equal">
      <formula>"Not Started"</formula>
    </cfRule>
  </conditionalFormatting>
  <dataValidations count="1">
    <dataValidation type="list" allowBlank="1" sqref="D5:D21">
      <formula1>"Done,On Track,At Risk,Missed,Not Started"</formula1>
      <formula2>0</formula2>
    </dataValidation>
  </dataValidation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4"/>
  <sheetViews>
    <sheetView showGridLines="0" zoomScaleNormal="100" workbookViewId="0">
      <pane ySplit="4" topLeftCell="A5" activePane="bottomLeft" state="frozen"/>
      <selection pane="bottomLeft"/>
    </sheetView>
  </sheetViews>
  <sheetFormatPr defaultColWidth="8.6328125" defaultRowHeight="14.5" x14ac:dyDescent="0.35"/>
  <cols>
    <col min="1" max="1" width="5" style="15" customWidth="1"/>
    <col min="2" max="2" width="10" style="15" customWidth="1"/>
    <col min="3" max="4" width="40" style="15" customWidth="1"/>
    <col min="5" max="5" width="15" style="15" customWidth="1"/>
    <col min="6" max="6" width="12" style="15" customWidth="1"/>
    <col min="7" max="8" width="13" style="15" customWidth="1"/>
  </cols>
  <sheetData>
    <row r="1" spans="1:8" ht="25.5" customHeight="1" x14ac:dyDescent="0.35">
      <c r="A1" s="14" t="s">
        <v>483</v>
      </c>
      <c r="B1" s="14"/>
      <c r="C1" s="14"/>
      <c r="D1" s="14"/>
      <c r="E1" s="14"/>
      <c r="F1" s="14"/>
      <c r="G1" s="14"/>
      <c r="H1" s="14"/>
    </row>
    <row r="2" spans="1:8" ht="18" customHeight="1" x14ac:dyDescent="0.35">
      <c r="A2" s="13" t="s">
        <v>484</v>
      </c>
      <c r="B2" s="13"/>
      <c r="C2" s="13"/>
      <c r="D2" s="13"/>
      <c r="E2" s="13"/>
      <c r="F2" s="13"/>
      <c r="G2" s="13"/>
      <c r="H2" s="13"/>
    </row>
    <row r="4" spans="1:8" ht="25.5" customHeight="1" x14ac:dyDescent="0.35">
      <c r="A4" s="27" t="s">
        <v>485</v>
      </c>
      <c r="B4" s="27" t="s">
        <v>486</v>
      </c>
      <c r="C4" s="27" t="s">
        <v>487</v>
      </c>
      <c r="D4" s="27" t="s">
        <v>488</v>
      </c>
      <c r="E4" s="27" t="s">
        <v>60</v>
      </c>
      <c r="F4" s="27" t="s">
        <v>489</v>
      </c>
      <c r="G4" s="27" t="s">
        <v>432</v>
      </c>
      <c r="H4" s="27" t="s">
        <v>490</v>
      </c>
    </row>
    <row r="5" spans="1:8" ht="30" customHeight="1" x14ac:dyDescent="0.35">
      <c r="A5" s="30">
        <v>1</v>
      </c>
      <c r="B5" s="30"/>
      <c r="C5" s="29" t="s">
        <v>491</v>
      </c>
      <c r="D5" s="29" t="s">
        <v>492</v>
      </c>
      <c r="E5" s="29" t="s">
        <v>66</v>
      </c>
      <c r="F5" s="30" t="s">
        <v>423</v>
      </c>
      <c r="G5" s="30" t="s">
        <v>493</v>
      </c>
      <c r="H5" s="30"/>
    </row>
    <row r="6" spans="1:8" ht="30" customHeight="1" x14ac:dyDescent="0.35">
      <c r="A6" s="32">
        <v>2</v>
      </c>
      <c r="B6" s="32"/>
      <c r="C6" s="31" t="s">
        <v>494</v>
      </c>
      <c r="D6" s="31" t="s">
        <v>495</v>
      </c>
      <c r="E6" s="31" t="s">
        <v>33</v>
      </c>
      <c r="F6" s="32" t="s">
        <v>458</v>
      </c>
      <c r="G6" s="32" t="s">
        <v>496</v>
      </c>
      <c r="H6" s="32"/>
    </row>
    <row r="7" spans="1:8" ht="30" customHeight="1" x14ac:dyDescent="0.35">
      <c r="A7" s="30">
        <v>3</v>
      </c>
      <c r="B7" s="30"/>
      <c r="C7" s="29" t="s">
        <v>497</v>
      </c>
      <c r="D7" s="29" t="s">
        <v>498</v>
      </c>
      <c r="E7" s="29" t="s">
        <v>63</v>
      </c>
      <c r="F7" s="30" t="s">
        <v>357</v>
      </c>
      <c r="G7" s="30" t="s">
        <v>496</v>
      </c>
      <c r="H7" s="30"/>
    </row>
    <row r="8" spans="1:8" ht="30" customHeight="1" x14ac:dyDescent="0.35">
      <c r="A8" s="32">
        <v>4</v>
      </c>
      <c r="B8" s="32"/>
      <c r="C8" s="31" t="s">
        <v>499</v>
      </c>
      <c r="D8" s="31" t="s">
        <v>500</v>
      </c>
      <c r="E8" s="31" t="s">
        <v>501</v>
      </c>
      <c r="F8" s="32" t="s">
        <v>369</v>
      </c>
      <c r="G8" s="32" t="s">
        <v>493</v>
      </c>
      <c r="H8" s="32"/>
    </row>
    <row r="9" spans="1:8" ht="25.5" customHeight="1" x14ac:dyDescent="0.35">
      <c r="A9" s="30">
        <v>5</v>
      </c>
      <c r="B9" s="30" t="s">
        <v>79</v>
      </c>
      <c r="C9" s="29" t="s">
        <v>502</v>
      </c>
      <c r="D9" s="29" t="s">
        <v>503</v>
      </c>
      <c r="E9" s="29" t="s">
        <v>504</v>
      </c>
      <c r="F9" s="30" t="s">
        <v>505</v>
      </c>
      <c r="G9" s="30" t="s">
        <v>496</v>
      </c>
      <c r="H9" s="30"/>
    </row>
    <row r="10" spans="1:8" ht="25.5" customHeight="1" x14ac:dyDescent="0.35">
      <c r="A10" s="32">
        <v>6</v>
      </c>
      <c r="B10" s="32" t="s">
        <v>79</v>
      </c>
      <c r="C10" s="31" t="s">
        <v>506</v>
      </c>
      <c r="D10" s="31" t="s">
        <v>507</v>
      </c>
      <c r="E10" s="31" t="s">
        <v>31</v>
      </c>
      <c r="F10" s="32" t="s">
        <v>508</v>
      </c>
      <c r="G10" s="32" t="s">
        <v>496</v>
      </c>
      <c r="H10" s="32" t="s">
        <v>80</v>
      </c>
    </row>
    <row r="11" spans="1:8" ht="25.5" customHeight="1" x14ac:dyDescent="0.35">
      <c r="A11" s="30">
        <v>7</v>
      </c>
      <c r="B11" s="30" t="s">
        <v>79</v>
      </c>
      <c r="C11" s="29" t="s">
        <v>509</v>
      </c>
      <c r="D11" s="29" t="s">
        <v>510</v>
      </c>
      <c r="E11" s="29" t="s">
        <v>66</v>
      </c>
      <c r="F11" s="30" t="s">
        <v>511</v>
      </c>
      <c r="G11" s="30" t="s">
        <v>496</v>
      </c>
      <c r="H11" s="30"/>
    </row>
    <row r="12" spans="1:8" ht="25.5" customHeight="1" x14ac:dyDescent="0.35">
      <c r="A12" s="32">
        <v>8</v>
      </c>
      <c r="B12" s="32" t="s">
        <v>79</v>
      </c>
      <c r="C12" s="31" t="s">
        <v>512</v>
      </c>
      <c r="D12" s="31" t="s">
        <v>513</v>
      </c>
      <c r="E12" s="31" t="s">
        <v>514</v>
      </c>
      <c r="F12" s="32" t="s">
        <v>515</v>
      </c>
      <c r="G12" s="32" t="s">
        <v>496</v>
      </c>
      <c r="H12" s="32"/>
    </row>
    <row r="13" spans="1:8" ht="25.5" customHeight="1" x14ac:dyDescent="0.35">
      <c r="A13" s="30">
        <v>9</v>
      </c>
      <c r="B13" s="30" t="s">
        <v>80</v>
      </c>
      <c r="C13" s="29" t="s">
        <v>516</v>
      </c>
      <c r="D13" s="29" t="s">
        <v>517</v>
      </c>
      <c r="E13" s="29" t="s">
        <v>504</v>
      </c>
      <c r="F13" s="30" t="s">
        <v>505</v>
      </c>
      <c r="G13" s="30" t="s">
        <v>496</v>
      </c>
      <c r="H13" s="30"/>
    </row>
    <row r="14" spans="1:8" ht="25.5" customHeight="1" x14ac:dyDescent="0.35">
      <c r="A14" s="32">
        <v>10</v>
      </c>
      <c r="B14" s="32" t="s">
        <v>80</v>
      </c>
      <c r="C14" s="31" t="s">
        <v>518</v>
      </c>
      <c r="D14" s="31" t="s">
        <v>519</v>
      </c>
      <c r="E14" s="31" t="s">
        <v>520</v>
      </c>
      <c r="F14" s="32" t="s">
        <v>511</v>
      </c>
      <c r="G14" s="32" t="s">
        <v>496</v>
      </c>
      <c r="H14" s="32"/>
    </row>
    <row r="15" spans="1:8" ht="25.5" customHeight="1" x14ac:dyDescent="0.35">
      <c r="A15" s="30">
        <v>11</v>
      </c>
      <c r="B15" s="30" t="s">
        <v>80</v>
      </c>
      <c r="C15" s="29" t="s">
        <v>521</v>
      </c>
      <c r="D15" s="29" t="s">
        <v>522</v>
      </c>
      <c r="E15" s="29" t="s">
        <v>514</v>
      </c>
      <c r="F15" s="30" t="s">
        <v>523</v>
      </c>
      <c r="G15" s="30" t="s">
        <v>496</v>
      </c>
      <c r="H15" s="30"/>
    </row>
    <row r="16" spans="1:8" ht="25.5" customHeight="1" x14ac:dyDescent="0.35">
      <c r="A16" s="32">
        <v>12</v>
      </c>
      <c r="B16" s="32" t="s">
        <v>80</v>
      </c>
      <c r="C16" s="31" t="s">
        <v>524</v>
      </c>
      <c r="D16" s="31" t="s">
        <v>525</v>
      </c>
      <c r="E16" s="31" t="s">
        <v>33</v>
      </c>
      <c r="F16" s="32" t="s">
        <v>369</v>
      </c>
      <c r="G16" s="32" t="s">
        <v>493</v>
      </c>
      <c r="H16" s="32"/>
    </row>
    <row r="17" spans="1:8" ht="25.5" customHeight="1" x14ac:dyDescent="0.35">
      <c r="A17" s="30">
        <v>13</v>
      </c>
      <c r="B17" s="30" t="s">
        <v>81</v>
      </c>
      <c r="C17" s="29" t="s">
        <v>526</v>
      </c>
      <c r="D17" s="29" t="s">
        <v>527</v>
      </c>
      <c r="E17" s="29" t="s">
        <v>528</v>
      </c>
      <c r="F17" s="30" t="s">
        <v>529</v>
      </c>
      <c r="G17" s="30" t="s">
        <v>493</v>
      </c>
      <c r="H17" s="30"/>
    </row>
    <row r="18" spans="1:8" ht="25.5" customHeight="1" x14ac:dyDescent="0.35">
      <c r="A18" s="32">
        <v>14</v>
      </c>
      <c r="B18" s="32" t="s">
        <v>81</v>
      </c>
      <c r="C18" s="31" t="s">
        <v>530</v>
      </c>
      <c r="D18" s="31" t="s">
        <v>531</v>
      </c>
      <c r="E18" s="31" t="s">
        <v>31</v>
      </c>
      <c r="F18" s="32" t="s">
        <v>523</v>
      </c>
      <c r="G18" s="32" t="s">
        <v>496</v>
      </c>
      <c r="H18" s="32"/>
    </row>
    <row r="19" spans="1:8" ht="25.5" customHeight="1" x14ac:dyDescent="0.35">
      <c r="A19" s="30">
        <v>15</v>
      </c>
      <c r="B19" s="30" t="s">
        <v>81</v>
      </c>
      <c r="C19" s="29" t="s">
        <v>532</v>
      </c>
      <c r="D19" s="29" t="s">
        <v>533</v>
      </c>
      <c r="E19" s="29" t="s">
        <v>93</v>
      </c>
      <c r="F19" s="30" t="s">
        <v>523</v>
      </c>
      <c r="G19" s="30" t="s">
        <v>493</v>
      </c>
      <c r="H19" s="30"/>
    </row>
    <row r="20" spans="1:8" ht="25.5" customHeight="1" x14ac:dyDescent="0.35">
      <c r="A20" s="32">
        <v>16</v>
      </c>
      <c r="B20" s="32" t="s">
        <v>82</v>
      </c>
      <c r="C20" s="31" t="s">
        <v>534</v>
      </c>
      <c r="D20" s="31" t="s">
        <v>535</v>
      </c>
      <c r="E20" s="31" t="s">
        <v>33</v>
      </c>
      <c r="F20" s="32" t="s">
        <v>536</v>
      </c>
      <c r="G20" s="32" t="s">
        <v>493</v>
      </c>
      <c r="H20" s="32"/>
    </row>
    <row r="21" spans="1:8" ht="25.5" customHeight="1" x14ac:dyDescent="0.35">
      <c r="A21" s="30">
        <v>17</v>
      </c>
      <c r="B21" s="30" t="s">
        <v>82</v>
      </c>
      <c r="C21" s="29" t="s">
        <v>537</v>
      </c>
      <c r="D21" s="29" t="s">
        <v>538</v>
      </c>
      <c r="E21" s="29" t="s">
        <v>31</v>
      </c>
      <c r="F21" s="30" t="s">
        <v>523</v>
      </c>
      <c r="G21" s="30" t="s">
        <v>493</v>
      </c>
      <c r="H21" s="30"/>
    </row>
    <row r="22" spans="1:8" ht="25.5" customHeight="1" x14ac:dyDescent="0.35">
      <c r="A22" s="32" t="s">
        <v>539</v>
      </c>
      <c r="B22" s="32" t="s">
        <v>85</v>
      </c>
      <c r="C22" s="31" t="s">
        <v>540</v>
      </c>
      <c r="D22" s="31" t="s">
        <v>541</v>
      </c>
      <c r="E22" s="31" t="s">
        <v>542</v>
      </c>
      <c r="F22" s="32" t="s">
        <v>536</v>
      </c>
      <c r="G22" s="32" t="s">
        <v>493</v>
      </c>
      <c r="H22" s="32"/>
    </row>
    <row r="23" spans="1:8" ht="25.5" customHeight="1" x14ac:dyDescent="0.35">
      <c r="A23" s="30" t="s">
        <v>543</v>
      </c>
      <c r="B23" s="30" t="s">
        <v>85</v>
      </c>
      <c r="C23" s="29" t="s">
        <v>544</v>
      </c>
      <c r="D23" s="29" t="s">
        <v>545</v>
      </c>
      <c r="E23" s="29" t="s">
        <v>467</v>
      </c>
      <c r="F23" s="30" t="s">
        <v>469</v>
      </c>
      <c r="G23" s="30" t="s">
        <v>493</v>
      </c>
      <c r="H23" s="30"/>
    </row>
    <row r="24" spans="1:8" ht="25.5" customHeight="1" x14ac:dyDescent="0.35">
      <c r="A24" s="32" t="s">
        <v>546</v>
      </c>
      <c r="B24" s="32" t="s">
        <v>85</v>
      </c>
      <c r="C24" s="31" t="s">
        <v>547</v>
      </c>
      <c r="D24" s="31" t="s">
        <v>548</v>
      </c>
      <c r="E24" s="31" t="s">
        <v>33</v>
      </c>
      <c r="F24" s="32" t="s">
        <v>536</v>
      </c>
      <c r="G24" s="32" t="s">
        <v>493</v>
      </c>
      <c r="H24" s="32"/>
    </row>
  </sheetData>
  <mergeCells count="2">
    <mergeCell ref="A1:H1"/>
    <mergeCell ref="A2:H2"/>
  </mergeCells>
  <conditionalFormatting sqref="G5:G24">
    <cfRule type="cellIs" dxfId="19" priority="2" operator="equal">
      <formula>"Open"</formula>
    </cfRule>
    <cfRule type="cellIs" dxfId="18" priority="3" operator="equal">
      <formula>"In Progress"</formula>
    </cfRule>
    <cfRule type="cellIs" dxfId="17" priority="4" operator="equal">
      <formula>"Closed"</formula>
    </cfRule>
  </conditionalFormatting>
  <dataValidations count="1">
    <dataValidation type="list" allowBlank="1" sqref="G5:G24">
      <formula1>"Open,In Progress,Closed"</formula1>
      <formula2>0</formula2>
    </dataValidation>
  </dataValidation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8"/>
  <sheetViews>
    <sheetView showGridLines="0" zoomScaleNormal="100" workbookViewId="0">
      <pane ySplit="4" topLeftCell="A5" activePane="bottomLeft" state="frozen"/>
      <selection pane="bottomLeft"/>
    </sheetView>
  </sheetViews>
  <sheetFormatPr defaultColWidth="8.6328125" defaultRowHeight="14.5" x14ac:dyDescent="0.35"/>
  <cols>
    <col min="1" max="1" width="8" style="15" customWidth="1"/>
    <col min="2" max="2" width="44" style="15" customWidth="1"/>
    <col min="3" max="3" width="14" style="15" customWidth="1"/>
    <col min="4" max="4" width="12" style="15" customWidth="1"/>
    <col min="5" max="5" width="10" style="15" customWidth="1"/>
    <col min="6" max="6" width="11" style="15" customWidth="1"/>
    <col min="7" max="7" width="15" style="15" customWidth="1"/>
    <col min="8" max="8" width="40" style="15" customWidth="1"/>
    <col min="9" max="10" width="13" style="15" customWidth="1"/>
  </cols>
  <sheetData>
    <row r="1" spans="1:10" ht="25.5" customHeight="1" x14ac:dyDescent="0.35">
      <c r="A1" s="14" t="s">
        <v>549</v>
      </c>
      <c r="B1" s="14"/>
      <c r="C1" s="14"/>
      <c r="D1" s="14"/>
      <c r="E1" s="14"/>
      <c r="F1" s="14"/>
      <c r="G1" s="14"/>
      <c r="H1" s="14"/>
      <c r="I1" s="14"/>
      <c r="J1" s="14"/>
    </row>
    <row r="2" spans="1:10" ht="18" customHeight="1" x14ac:dyDescent="0.35">
      <c r="A2" s="13" t="s">
        <v>550</v>
      </c>
      <c r="B2" s="13"/>
      <c r="C2" s="13"/>
      <c r="D2" s="13"/>
      <c r="E2" s="13"/>
      <c r="F2" s="13"/>
      <c r="G2" s="13"/>
      <c r="H2" s="13"/>
      <c r="I2" s="13"/>
      <c r="J2" s="13"/>
    </row>
    <row r="3" spans="1:10" ht="15.75" customHeight="1" x14ac:dyDescent="0.35">
      <c r="A3" s="87" t="s">
        <v>551</v>
      </c>
      <c r="B3" s="87"/>
      <c r="C3" s="87"/>
      <c r="D3" s="87"/>
      <c r="E3" s="87"/>
      <c r="F3" s="87"/>
      <c r="G3" s="87"/>
      <c r="H3" s="87"/>
      <c r="I3" s="87"/>
      <c r="J3" s="87"/>
    </row>
    <row r="4" spans="1:10" ht="27.75" customHeight="1" x14ac:dyDescent="0.35">
      <c r="A4" s="27" t="s">
        <v>552</v>
      </c>
      <c r="B4" s="27" t="s">
        <v>553</v>
      </c>
      <c r="C4" s="27" t="s">
        <v>49</v>
      </c>
      <c r="D4" s="27" t="s">
        <v>554</v>
      </c>
      <c r="E4" s="27" t="s">
        <v>555</v>
      </c>
      <c r="F4" s="27" t="s">
        <v>556</v>
      </c>
      <c r="G4" s="27" t="s">
        <v>60</v>
      </c>
      <c r="H4" s="27" t="s">
        <v>557</v>
      </c>
      <c r="I4" s="27" t="s">
        <v>432</v>
      </c>
      <c r="J4" s="27" t="s">
        <v>558</v>
      </c>
    </row>
    <row r="5" spans="1:10" ht="37.5" customHeight="1" x14ac:dyDescent="0.35">
      <c r="A5" s="49" t="s">
        <v>559</v>
      </c>
      <c r="B5" s="50" t="s">
        <v>560</v>
      </c>
      <c r="C5" s="51" t="s">
        <v>5</v>
      </c>
      <c r="D5" s="51" t="s">
        <v>561</v>
      </c>
      <c r="E5" s="51" t="s">
        <v>562</v>
      </c>
      <c r="F5" s="49" t="str">
        <f t="shared" ref="F5:F18" si="0">IF(OR(D5="",E5=""),"",IF((IF(D5="High",3,IF(D5="Medium",2,1)))*(IF(E5="High",3,IF(E5="Medium",2,1)))=9,"Critical",IF((IF(D5="High",3,IF(D5="Medium",2,1)))*(IF(E5="High",3,IF(E5="Medium",2,1)))=6,"High",IF((IF(D5="High",3,IF(D5="Medium",2,1)))*(IF(E5="High",3,IF(E5="Medium",2,1)))&gt;=3,"Medium","Low"))))</f>
        <v>High</v>
      </c>
      <c r="G5" s="50" t="s">
        <v>31</v>
      </c>
      <c r="H5" s="50" t="s">
        <v>563</v>
      </c>
      <c r="I5" s="51" t="s">
        <v>564</v>
      </c>
      <c r="J5" s="65"/>
    </row>
    <row r="6" spans="1:10" ht="37.5" customHeight="1" x14ac:dyDescent="0.35">
      <c r="A6" s="46" t="s">
        <v>565</v>
      </c>
      <c r="B6" s="47" t="s">
        <v>566</v>
      </c>
      <c r="C6" s="48" t="s">
        <v>7</v>
      </c>
      <c r="D6" s="48" t="s">
        <v>561</v>
      </c>
      <c r="E6" s="48" t="s">
        <v>562</v>
      </c>
      <c r="F6" s="46" t="str">
        <f t="shared" si="0"/>
        <v>High</v>
      </c>
      <c r="G6" s="47" t="s">
        <v>368</v>
      </c>
      <c r="H6" s="47" t="s">
        <v>567</v>
      </c>
      <c r="I6" s="48" t="s">
        <v>493</v>
      </c>
      <c r="J6" s="66" t="s">
        <v>85</v>
      </c>
    </row>
    <row r="7" spans="1:10" ht="37.5" customHeight="1" x14ac:dyDescent="0.35">
      <c r="A7" s="49" t="s">
        <v>568</v>
      </c>
      <c r="B7" s="50" t="s">
        <v>569</v>
      </c>
      <c r="C7" s="51" t="s">
        <v>3</v>
      </c>
      <c r="D7" s="51" t="s">
        <v>561</v>
      </c>
      <c r="E7" s="51" t="s">
        <v>562</v>
      </c>
      <c r="F7" s="49" t="str">
        <f t="shared" si="0"/>
        <v>High</v>
      </c>
      <c r="G7" s="50" t="s">
        <v>63</v>
      </c>
      <c r="H7" s="50" t="s">
        <v>570</v>
      </c>
      <c r="I7" s="51" t="s">
        <v>564</v>
      </c>
      <c r="J7" s="65"/>
    </row>
    <row r="8" spans="1:10" ht="37.5" customHeight="1" x14ac:dyDescent="0.35">
      <c r="A8" s="46" t="s">
        <v>571</v>
      </c>
      <c r="B8" s="47" t="s">
        <v>572</v>
      </c>
      <c r="C8" s="48" t="s">
        <v>3</v>
      </c>
      <c r="D8" s="48" t="s">
        <v>573</v>
      </c>
      <c r="E8" s="48" t="s">
        <v>561</v>
      </c>
      <c r="F8" s="46" t="str">
        <f t="shared" si="0"/>
        <v>Low</v>
      </c>
      <c r="G8" s="47" t="s">
        <v>93</v>
      </c>
      <c r="H8" s="47" t="s">
        <v>574</v>
      </c>
      <c r="I8" s="48" t="s">
        <v>564</v>
      </c>
      <c r="J8" s="66"/>
    </row>
    <row r="9" spans="1:10" ht="37.5" customHeight="1" x14ac:dyDescent="0.35">
      <c r="A9" s="49" t="s">
        <v>575</v>
      </c>
      <c r="B9" s="50" t="s">
        <v>576</v>
      </c>
      <c r="C9" s="51" t="s">
        <v>5</v>
      </c>
      <c r="D9" s="51" t="s">
        <v>561</v>
      </c>
      <c r="E9" s="51" t="s">
        <v>561</v>
      </c>
      <c r="F9" s="49" t="str">
        <f t="shared" si="0"/>
        <v>Medium</v>
      </c>
      <c r="G9" s="50" t="s">
        <v>577</v>
      </c>
      <c r="H9" s="50" t="s">
        <v>578</v>
      </c>
      <c r="I9" s="51" t="s">
        <v>493</v>
      </c>
      <c r="J9" s="65"/>
    </row>
    <row r="10" spans="1:10" ht="37.5" customHeight="1" x14ac:dyDescent="0.35">
      <c r="A10" s="46" t="s">
        <v>579</v>
      </c>
      <c r="B10" s="47" t="s">
        <v>580</v>
      </c>
      <c r="C10" s="48" t="s">
        <v>9</v>
      </c>
      <c r="D10" s="48" t="s">
        <v>561</v>
      </c>
      <c r="E10" s="48" t="s">
        <v>561</v>
      </c>
      <c r="F10" s="46" t="str">
        <f t="shared" si="0"/>
        <v>Medium</v>
      </c>
      <c r="G10" s="47" t="s">
        <v>33</v>
      </c>
      <c r="H10" s="47" t="s">
        <v>581</v>
      </c>
      <c r="I10" s="48" t="s">
        <v>493</v>
      </c>
      <c r="J10" s="66" t="s">
        <v>85</v>
      </c>
    </row>
    <row r="11" spans="1:10" ht="37.5" customHeight="1" x14ac:dyDescent="0.35">
      <c r="A11" s="49" t="s">
        <v>582</v>
      </c>
      <c r="B11" s="50" t="s">
        <v>583</v>
      </c>
      <c r="C11" s="51" t="s">
        <v>3</v>
      </c>
      <c r="D11" s="51" t="s">
        <v>561</v>
      </c>
      <c r="E11" s="51" t="s">
        <v>561</v>
      </c>
      <c r="F11" s="49" t="str">
        <f t="shared" si="0"/>
        <v>Medium</v>
      </c>
      <c r="G11" s="50" t="s">
        <v>356</v>
      </c>
      <c r="H11" s="50" t="s">
        <v>584</v>
      </c>
      <c r="I11" s="51" t="s">
        <v>493</v>
      </c>
      <c r="J11" s="65" t="s">
        <v>85</v>
      </c>
    </row>
    <row r="12" spans="1:10" ht="37.5" customHeight="1" x14ac:dyDescent="0.35">
      <c r="A12" s="46" t="s">
        <v>585</v>
      </c>
      <c r="B12" s="47" t="s">
        <v>586</v>
      </c>
      <c r="C12" s="48" t="s">
        <v>7</v>
      </c>
      <c r="D12" s="48" t="s">
        <v>561</v>
      </c>
      <c r="E12" s="48" t="s">
        <v>573</v>
      </c>
      <c r="F12" s="46" t="str">
        <f t="shared" si="0"/>
        <v>Low</v>
      </c>
      <c r="G12" s="47" t="s">
        <v>501</v>
      </c>
      <c r="H12" s="47" t="s">
        <v>587</v>
      </c>
      <c r="I12" s="48" t="s">
        <v>493</v>
      </c>
      <c r="J12" s="66"/>
    </row>
    <row r="13" spans="1:10" ht="30" customHeight="1" x14ac:dyDescent="0.35">
      <c r="A13" s="51" t="s">
        <v>588</v>
      </c>
      <c r="B13" s="50" t="s">
        <v>589</v>
      </c>
      <c r="C13" s="51" t="s">
        <v>5</v>
      </c>
      <c r="D13" s="51" t="s">
        <v>561</v>
      </c>
      <c r="E13" s="51" t="s">
        <v>562</v>
      </c>
      <c r="F13" s="51" t="str">
        <f t="shared" si="0"/>
        <v>High</v>
      </c>
      <c r="G13" s="50" t="s">
        <v>479</v>
      </c>
      <c r="H13" s="50" t="s">
        <v>590</v>
      </c>
      <c r="I13" s="51" t="s">
        <v>493</v>
      </c>
      <c r="J13" s="65" t="s">
        <v>85</v>
      </c>
    </row>
    <row r="14" spans="1:10" ht="30" customHeight="1" x14ac:dyDescent="0.35">
      <c r="A14" s="48" t="s">
        <v>591</v>
      </c>
      <c r="B14" s="47" t="s">
        <v>592</v>
      </c>
      <c r="C14" s="48" t="s">
        <v>3</v>
      </c>
      <c r="D14" s="48" t="s">
        <v>561</v>
      </c>
      <c r="E14" s="48" t="s">
        <v>573</v>
      </c>
      <c r="F14" s="48" t="str">
        <f t="shared" si="0"/>
        <v>Low</v>
      </c>
      <c r="G14" s="47" t="s">
        <v>368</v>
      </c>
      <c r="H14" s="47" t="s">
        <v>593</v>
      </c>
      <c r="I14" s="48" t="s">
        <v>493</v>
      </c>
      <c r="J14" s="66" t="s">
        <v>85</v>
      </c>
    </row>
    <row r="15" spans="1:10" ht="30" customHeight="1" x14ac:dyDescent="0.35">
      <c r="A15" s="51" t="s">
        <v>594</v>
      </c>
      <c r="B15" s="50"/>
      <c r="C15" s="51"/>
      <c r="D15" s="51"/>
      <c r="E15" s="51"/>
      <c r="F15" s="51" t="str">
        <f t="shared" si="0"/>
        <v/>
      </c>
      <c r="G15" s="50"/>
      <c r="H15" s="50"/>
      <c r="I15" s="51"/>
      <c r="J15" s="65"/>
    </row>
    <row r="16" spans="1:10" ht="30" customHeight="1" x14ac:dyDescent="0.35">
      <c r="A16" s="48" t="s">
        <v>595</v>
      </c>
      <c r="B16" s="47"/>
      <c r="C16" s="48"/>
      <c r="D16" s="48"/>
      <c r="E16" s="48"/>
      <c r="F16" s="48" t="str">
        <f t="shared" si="0"/>
        <v/>
      </c>
      <c r="G16" s="47"/>
      <c r="H16" s="47"/>
      <c r="I16" s="48"/>
      <c r="J16" s="66"/>
    </row>
    <row r="17" spans="1:10" ht="30" customHeight="1" x14ac:dyDescent="0.35">
      <c r="A17" s="51" t="s">
        <v>596</v>
      </c>
      <c r="B17" s="50"/>
      <c r="C17" s="51"/>
      <c r="D17" s="51"/>
      <c r="E17" s="51"/>
      <c r="F17" s="51" t="str">
        <f t="shared" si="0"/>
        <v/>
      </c>
      <c r="G17" s="50"/>
      <c r="H17" s="50"/>
      <c r="I17" s="51"/>
      <c r="J17" s="65"/>
    </row>
    <row r="18" spans="1:10" ht="30" customHeight="1" x14ac:dyDescent="0.35">
      <c r="A18" s="48" t="s">
        <v>597</v>
      </c>
      <c r="B18" s="47"/>
      <c r="C18" s="48"/>
      <c r="D18" s="48"/>
      <c r="E18" s="48"/>
      <c r="F18" s="48" t="str">
        <f t="shared" si="0"/>
        <v/>
      </c>
      <c r="G18" s="47"/>
      <c r="H18" s="47"/>
      <c r="I18" s="48"/>
      <c r="J18" s="66"/>
    </row>
  </sheetData>
  <mergeCells count="3">
    <mergeCell ref="A1:J1"/>
    <mergeCell ref="A2:J2"/>
    <mergeCell ref="A3:J3"/>
  </mergeCells>
  <conditionalFormatting sqref="F5:F18">
    <cfRule type="cellIs" dxfId="16" priority="2" operator="equal">
      <formula>"Critical"</formula>
    </cfRule>
    <cfRule type="cellIs" dxfId="15" priority="3" operator="equal">
      <formula>"High"</formula>
    </cfRule>
    <cfRule type="cellIs" dxfId="14" priority="4" operator="equal">
      <formula>"Medium"</formula>
    </cfRule>
    <cfRule type="cellIs" dxfId="13" priority="5" operator="equal">
      <formula>"Low"</formula>
    </cfRule>
  </conditionalFormatting>
  <conditionalFormatting sqref="C5:C18">
    <cfRule type="cellIs" dxfId="12" priority="6" operator="equal">
      <formula>"Programmes"</formula>
    </cfRule>
    <cfRule type="cellIs" dxfId="11" priority="7" operator="equal">
      <formula>"Partnerships"</formula>
    </cfRule>
    <cfRule type="cellIs" dxfId="10" priority="8" operator="equal">
      <formula>"Revenue"</formula>
    </cfRule>
    <cfRule type="cellIs" dxfId="9" priority="9" operator="equal">
      <formula>"Team"</formula>
    </cfRule>
  </conditionalFormatting>
  <conditionalFormatting sqref="D5:D18">
    <cfRule type="cellIs" dxfId="8" priority="10" operator="equal">
      <formula>"High"</formula>
    </cfRule>
    <cfRule type="cellIs" dxfId="7" priority="11" operator="equal">
      <formula>"Medium"</formula>
    </cfRule>
    <cfRule type="cellIs" dxfId="6" priority="12" operator="equal">
      <formula>"Low"</formula>
    </cfRule>
  </conditionalFormatting>
  <conditionalFormatting sqref="E5:E18">
    <cfRule type="cellIs" dxfId="5" priority="13" operator="equal">
      <formula>"High"</formula>
    </cfRule>
    <cfRule type="cellIs" dxfId="4" priority="14" operator="equal">
      <formula>"Medium"</formula>
    </cfRule>
    <cfRule type="cellIs" dxfId="3" priority="15" operator="equal">
      <formula>"Low"</formula>
    </cfRule>
  </conditionalFormatting>
  <conditionalFormatting sqref="I5:I18">
    <cfRule type="cellIs" dxfId="2" priority="16" operator="equal">
      <formula>"Open"</formula>
    </cfRule>
    <cfRule type="cellIs" dxfId="1" priority="17" operator="equal">
      <formula>"Monitoring"</formula>
    </cfRule>
    <cfRule type="cellIs" dxfId="0" priority="18" operator="equal">
      <formula>"Closed"</formula>
    </cfRule>
  </conditionalFormatting>
  <dataValidations count="4">
    <dataValidation type="list" allowBlank="1" sqref="C5:C18">
      <formula1>"Programmes,Partnerships,Revenue,Team"</formula1>
      <formula2>0</formula2>
    </dataValidation>
    <dataValidation type="list" allowBlank="1" sqref="D5:D18">
      <formula1>"High,Medium,Low"</formula1>
      <formula2>0</formula2>
    </dataValidation>
    <dataValidation type="list" allowBlank="1" sqref="E5:E18">
      <formula1>"High,Medium,Low"</formula1>
      <formula2>0</formula2>
    </dataValidation>
    <dataValidation type="list" allowBlank="1" sqref="I5:I18">
      <formula1>"Open,Monitoring,Closed"</formula1>
      <formula2>0</formula2>
    </dataValidation>
  </dataValidation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7</vt:i4>
      </vt:variant>
    </vt:vector>
  </HeadingPairs>
  <TitlesOfParts>
    <vt:vector size="7" baseType="lpstr">
      <vt:lpstr>1. Read Me</vt:lpstr>
      <vt:lpstr>2. Q3 Cockpit</vt:lpstr>
      <vt:lpstr>3. Weekly Run-Sheet</vt:lpstr>
      <vt:lpstr>4. Scorecard</vt:lpstr>
      <vt:lpstr>5. Milestones</vt:lpstr>
      <vt:lpstr>6. Decision Log</vt:lpstr>
      <vt:lpstr>7. Risk Register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HP</cp:lastModifiedBy>
  <cp:revision>0</cp:revision>
  <dcterms:created xsi:type="dcterms:W3CDTF">2026-07-06T08:22:36Z</dcterms:created>
  <dcterms:modified xsi:type="dcterms:W3CDTF">2026-08-28T12:40:18Z</dcterms:modified>
  <dc:language>en-US</dc:language>
</cp:coreProperties>
</file>